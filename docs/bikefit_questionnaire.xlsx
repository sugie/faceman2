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ngo\opt\tsugie\faceman2\docs\"/>
    </mc:Choice>
  </mc:AlternateContent>
  <xr:revisionPtr revIDLastSave="0" documentId="13_ncr:1_{C626BBFF-1953-4850-BFE0-D5A49BB8FB16}" xr6:coauthVersionLast="47" xr6:coauthVersionMax="47" xr10:uidLastSave="{00000000-0000-0000-0000-000000000000}"/>
  <bookViews>
    <workbookView xWindow="7770" yWindow="4960" windowWidth="28800" windowHeight="15370" activeTab="2" xr2:uid="{00000000-000D-0000-FFFF-FFFF00000000}"/>
  </bookViews>
  <sheets>
    <sheet name="Questions" sheetId="1" r:id="rId1"/>
    <sheet name="Options" sheetId="2" r:id="rId2"/>
    <sheet name="Genres" sheetId="3" r:id="rId3"/>
    <sheet name="WeightsMatrix" sheetId="5" r:id="rId4"/>
    <sheet name="Sheet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2" l="1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T3" i="5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1" i="6"/>
  <c r="F14" i="1"/>
  <c r="F13" i="1"/>
  <c r="F12" i="1"/>
  <c r="F11" i="1"/>
  <c r="F10" i="1"/>
  <c r="F9" i="1"/>
  <c r="F8" i="1"/>
  <c r="F7" i="1"/>
  <c r="F6" i="1"/>
  <c r="F5" i="1"/>
  <c r="F4" i="1"/>
  <c r="E2" i="3"/>
  <c r="F2" i="2"/>
  <c r="F52" i="2" s="1"/>
  <c r="F2" i="1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T4" i="5"/>
  <c r="T53" i="5"/>
  <c r="E3" i="3"/>
  <c r="F3" i="2"/>
  <c r="F3" i="1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0" i="3"/>
  <c r="F16" i="1"/>
</calcChain>
</file>

<file path=xl/sharedStrings.xml><?xml version="1.0" encoding="utf-8"?>
<sst xmlns="http://schemas.openxmlformats.org/spreadsheetml/2006/main" count="137" uniqueCount="98">
  <si>
    <t>section</t>
  </si>
  <si>
    <t>answer_type</t>
  </si>
  <si>
    <t>体格</t>
  </si>
  <si>
    <t>経験</t>
  </si>
  <si>
    <t>用途</t>
  </si>
  <si>
    <t>環境</t>
  </si>
  <si>
    <t>嗜好</t>
  </si>
  <si>
    <t>コスト</t>
  </si>
  <si>
    <t>快適</t>
  </si>
  <si>
    <t>制約</t>
  </si>
  <si>
    <t>免許</t>
  </si>
  <si>
    <t>身長のレンジを選んでください</t>
  </si>
  <si>
    <t>体重のレンジを選んでください</t>
  </si>
  <si>
    <t>足つき性（足がべったり着くこと）の重視度</t>
  </si>
  <si>
    <t>バイクの運転経験年数</t>
  </si>
  <si>
    <t>主な用途（最も近いもの1つ）</t>
  </si>
  <si>
    <t>主な走行環境（最も近いもの1つ）</t>
  </si>
  <si>
    <t>取り回しの軽さ重視度</t>
  </si>
  <si>
    <t>維持費の重視度</t>
  </si>
  <si>
    <t>積載・快適性の重視度</t>
  </si>
  <si>
    <t>購入予算（万円）</t>
  </si>
  <si>
    <t>現在の二輪免許区分</t>
  </si>
  <si>
    <t>single</t>
  </si>
  <si>
    <t>&lt;160cm</t>
  </si>
  <si>
    <t>160-170cm</t>
  </si>
  <si>
    <t>170-180cm</t>
  </si>
  <si>
    <t>&gt;180cm</t>
  </si>
  <si>
    <t>&lt;55kg</t>
  </si>
  <si>
    <t>55-70kg</t>
  </si>
  <si>
    <t>70-85kg</t>
  </si>
  <si>
    <t>&gt;85kg</t>
  </si>
  <si>
    <t>気にしない</t>
  </si>
  <si>
    <t>やや気にする</t>
  </si>
  <si>
    <t>かなり気にする</t>
  </si>
  <si>
    <t>なし</t>
  </si>
  <si>
    <t>教習中</t>
  </si>
  <si>
    <t>1年未満</t>
  </si>
  <si>
    <t>1-3年</t>
  </si>
  <si>
    <t>3年以上</t>
  </si>
  <si>
    <t>通勤通学</t>
  </si>
  <si>
    <t>街乗り</t>
  </si>
  <si>
    <t>週末ツーリング</t>
  </si>
  <si>
    <t>長距離ツアラー</t>
  </si>
  <si>
    <t>オフロード</t>
  </si>
  <si>
    <t>サーキット/峠</t>
  </si>
  <si>
    <t>二人乗りが多い</t>
  </si>
  <si>
    <t>買い物・積載重視</t>
  </si>
  <si>
    <t>都市部</t>
  </si>
  <si>
    <t>郊外</t>
  </si>
  <si>
    <t>山間部</t>
  </si>
  <si>
    <t>高速道路が多い</t>
  </si>
  <si>
    <t>未舗装路が多い</t>
  </si>
  <si>
    <t>低</t>
  </si>
  <si>
    <t>中</t>
  </si>
  <si>
    <t>高</t>
  </si>
  <si>
    <t>クラシック</t>
  </si>
  <si>
    <t>アドベンチャー</t>
  </si>
  <si>
    <t>スクーター</t>
  </si>
  <si>
    <t>&lt;30</t>
  </si>
  <si>
    <t>30-60</t>
  </si>
  <si>
    <t>60-100</t>
  </si>
  <si>
    <t>100-150</t>
  </si>
  <si>
    <t>&gt;150</t>
  </si>
  <si>
    <t>原付</t>
  </si>
  <si>
    <t>小型限定</t>
  </si>
  <si>
    <t>普通二輪</t>
  </si>
  <si>
    <t>大型</t>
  </si>
  <si>
    <t>ネイキッド</t>
  </si>
  <si>
    <t>スーパースポーツ</t>
  </si>
  <si>
    <t>レーサーレプリカ</t>
  </si>
  <si>
    <t>モタード</t>
  </si>
  <si>
    <t>ストリートファイター</t>
  </si>
  <si>
    <t>クルーザー</t>
  </si>
  <si>
    <t>ツアラー</t>
  </si>
  <si>
    <t>カフェレーサー</t>
  </si>
  <si>
    <t>スクランブラー</t>
  </si>
  <si>
    <t>ネオクラシック</t>
  </si>
  <si>
    <t>ミニバイク</t>
  </si>
  <si>
    <t>body</t>
    <phoneticPr fontId="2"/>
  </si>
  <si>
    <t>code 5313088969</t>
    <phoneticPr fontId="2"/>
  </si>
  <si>
    <t>id</t>
    <phoneticPr fontId="2"/>
  </si>
  <si>
    <t>bf_questions</t>
    <phoneticPr fontId="2"/>
  </si>
  <si>
    <t>]);</t>
  </si>
  <si>
    <t>bf_options</t>
    <phoneticPr fontId="2"/>
  </si>
  <si>
    <t>label</t>
    <phoneticPr fontId="2"/>
  </si>
  <si>
    <t>code 1646515591</t>
    <phoneticPr fontId="2"/>
  </si>
  <si>
    <t>name</t>
    <phoneticPr fontId="2"/>
  </si>
  <si>
    <t>bf_genres</t>
    <phoneticPr fontId="2"/>
  </si>
  <si>
    <t>code 3993290321</t>
    <phoneticPr fontId="2"/>
  </si>
  <si>
    <t>question_id</t>
    <phoneticPr fontId="2"/>
  </si>
  <si>
    <t>sno</t>
    <phoneticPr fontId="2"/>
  </si>
  <si>
    <t>bf_weights</t>
  </si>
  <si>
    <t>code 3230580247</t>
    <phoneticPr fontId="2"/>
  </si>
  <si>
    <t>question_id</t>
    <phoneticPr fontId="6"/>
  </si>
  <si>
    <t>option_id</t>
    <phoneticPr fontId="6"/>
  </si>
  <si>
    <t>genre_id</t>
    <phoneticPr fontId="2"/>
  </si>
  <si>
    <t>score</t>
    <phoneticPr fontId="2"/>
  </si>
  <si>
    <t>ono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</si>
</sst>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.8000000000000007"/>
      <color rgb="FF080808"/>
      <name val="JetBrains Mono"/>
      <family val="3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0" fillId="0" borderId="1" xfId="0" applyBorder="1"/>
    <xf numFmtId="0" fontId="3" fillId="0" borderId="0" xfId="1"/>
    <xf numFmtId="0" fontId="3" fillId="0" borderId="1" xfId="1" applyBorder="1"/>
    <xf numFmtId="0" fontId="1" fillId="0" borderId="1" xfId="1" applyFont="1" applyBorder="1" applyAlignment="1">
      <alignment horizontal="center" vertical="top"/>
    </xf>
    <xf numFmtId="0" fontId="1" fillId="0" borderId="1" xfId="1" applyFont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5" borderId="1" xfId="1" applyFont="1" applyFill="1" applyBorder="1" applyAlignment="1">
      <alignment horizontal="center" vertical="top"/>
    </xf>
    <xf numFmtId="0" fontId="3" fillId="5" borderId="1" xfId="1" applyFill="1" applyBorder="1"/>
    <xf numFmtId="0" fontId="1" fillId="4" borderId="1" xfId="1" applyFont="1" applyFill="1" applyBorder="1" applyAlignment="1">
      <alignment horizontal="center" vertical="top"/>
    </xf>
    <xf numFmtId="0" fontId="3" fillId="4" borderId="1" xfId="1" applyFill="1" applyBorder="1"/>
    <xf numFmtId="0" fontId="1" fillId="6" borderId="1" xfId="1" applyFont="1" applyFill="1" applyBorder="1" applyAlignment="1">
      <alignment horizontal="center" vertical="top"/>
    </xf>
    <xf numFmtId="0" fontId="3" fillId="6" borderId="1" xfId="1" applyFill="1" applyBorder="1"/>
    <xf numFmtId="0" fontId="1" fillId="3" borderId="1" xfId="1" applyFont="1" applyFill="1" applyBorder="1" applyAlignment="1">
      <alignment horizontal="center" vertical="top"/>
    </xf>
    <xf numFmtId="0" fontId="3" fillId="3" borderId="1" xfId="1" applyFill="1" applyBorder="1"/>
    <xf numFmtId="0" fontId="1" fillId="0" borderId="2" xfId="1" applyFont="1" applyBorder="1" applyAlignment="1">
      <alignment horizontal="center" vertical="top"/>
    </xf>
    <xf numFmtId="0" fontId="1" fillId="3" borderId="2" xfId="1" applyFont="1" applyFill="1" applyBorder="1" applyAlignment="1">
      <alignment horizontal="center" vertical="top"/>
    </xf>
    <xf numFmtId="0" fontId="1" fillId="6" borderId="2" xfId="1" applyFont="1" applyFill="1" applyBorder="1" applyAlignment="1">
      <alignment horizontal="center" vertical="top"/>
    </xf>
    <xf numFmtId="0" fontId="1" fillId="4" borderId="2" xfId="1" applyFont="1" applyFill="1" applyBorder="1" applyAlignment="1">
      <alignment horizontal="center" vertical="top"/>
    </xf>
    <xf numFmtId="0" fontId="1" fillId="5" borderId="2" xfId="1" applyFont="1" applyFill="1" applyBorder="1" applyAlignment="1">
      <alignment horizontal="center" vertical="top"/>
    </xf>
  </cellXfs>
  <cellStyles count="2">
    <cellStyle name="標準" xfId="0" builtinId="0"/>
    <cellStyle name="標準 2" xfId="1" xr:uid="{BFA910DB-8093-499C-A2DB-5B1D82206C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="145" zoomScaleNormal="145" workbookViewId="0"/>
  </sheetViews>
  <sheetFormatPr defaultRowHeight="13"/>
  <cols>
    <col min="4" max="4" width="38.26953125" bestFit="1" customWidth="1"/>
  </cols>
  <sheetData>
    <row r="1" spans="1:6">
      <c r="A1" t="s">
        <v>79</v>
      </c>
    </row>
    <row r="2" spans="1:6">
      <c r="A2" t="s">
        <v>81</v>
      </c>
      <c r="F2" t="str">
        <f>"        // docs/bike_diagnosis_questionnaire.xlsx "&amp;$A$1</f>
        <v xml:space="preserve">        // docs/bike_diagnosis_questionnaire.xlsx code 5313088969</v>
      </c>
    </row>
    <row r="3" spans="1:6">
      <c r="A3" s="1" t="s">
        <v>80</v>
      </c>
      <c r="B3" s="1" t="s">
        <v>97</v>
      </c>
      <c r="C3" s="1" t="s">
        <v>0</v>
      </c>
      <c r="D3" s="1" t="s">
        <v>78</v>
      </c>
      <c r="E3" s="1" t="s">
        <v>1</v>
      </c>
      <c r="F3" t="str">
        <f>"DB::table('"&amp;$A$2&amp;"')-&gt;insert(["</f>
        <v>DB::table('bf_questions')-&gt;insert([</v>
      </c>
    </row>
    <row r="4" spans="1:6">
      <c r="A4" s="3">
        <v>100</v>
      </c>
      <c r="B4" s="3">
        <v>1</v>
      </c>
      <c r="C4" s="3" t="s">
        <v>2</v>
      </c>
      <c r="D4" s="3" t="s">
        <v>11</v>
      </c>
      <c r="E4" s="3" t="s">
        <v>22</v>
      </c>
      <c r="F4" t="str">
        <f>"['"&amp;$A$3&amp;"' =&gt; "&amp;$A4&amp;", '"&amp;$B$3&amp;"'=&gt;"&amp;$B4&amp;", '"&amp;$C$3&amp;"' =&gt; '"&amp;$C4&amp;"', '"&amp;$D$3&amp;"' =&gt; '"&amp;$D4&amp;"', '"&amp;$E$3&amp;"' =&gt; '"&amp;$E4&amp;"'],"</f>
        <v>['id' =&gt; 100, 'ono'=&gt;1, 'section' =&gt; '体格', 'body' =&gt; '身長のレンジを選んでください', 'answer_type' =&gt; 'single'],</v>
      </c>
    </row>
    <row r="5" spans="1:6">
      <c r="A5" s="3">
        <v>200</v>
      </c>
      <c r="B5" s="3">
        <v>2</v>
      </c>
      <c r="C5" s="3" t="s">
        <v>2</v>
      </c>
      <c r="D5" s="3" t="s">
        <v>12</v>
      </c>
      <c r="E5" s="3" t="s">
        <v>22</v>
      </c>
      <c r="F5" t="str">
        <f t="shared" ref="F5:F14" si="0">"['"&amp;$A$3&amp;"' =&gt; "&amp;$A5&amp;", '"&amp;$B$3&amp;"'=&gt;"&amp;$B5&amp;", '"&amp;$C$3&amp;"' =&gt; '"&amp;$C5&amp;"', '"&amp;$D$3&amp;"' =&gt; '"&amp;$D5&amp;"', '"&amp;$E$3&amp;"' =&gt; '"&amp;$E5&amp;"'],"</f>
        <v>['id' =&gt; 200, 'ono'=&gt;2, 'section' =&gt; '体格', 'body' =&gt; '体重のレンジを選んでください', 'answer_type' =&gt; 'single'],</v>
      </c>
    </row>
    <row r="6" spans="1:6">
      <c r="A6" s="3">
        <v>300</v>
      </c>
      <c r="B6" s="3">
        <v>3</v>
      </c>
      <c r="C6" s="3" t="s">
        <v>2</v>
      </c>
      <c r="D6" s="3" t="s">
        <v>13</v>
      </c>
      <c r="E6" s="3" t="s">
        <v>22</v>
      </c>
      <c r="F6" t="str">
        <f t="shared" si="0"/>
        <v>['id' =&gt; 300, 'ono'=&gt;3, 'section' =&gt; '体格', 'body' =&gt; '足つき性（足がべったり着くこと）の重視度', 'answer_type' =&gt; 'single'],</v>
      </c>
    </row>
    <row r="7" spans="1:6">
      <c r="A7" s="3">
        <v>400</v>
      </c>
      <c r="B7" s="3">
        <v>4</v>
      </c>
      <c r="C7" s="3" t="s">
        <v>3</v>
      </c>
      <c r="D7" s="3" t="s">
        <v>14</v>
      </c>
      <c r="E7" s="3" t="s">
        <v>22</v>
      </c>
      <c r="F7" t="str">
        <f t="shared" si="0"/>
        <v>['id' =&gt; 400, 'ono'=&gt;4, 'section' =&gt; '経験', 'body' =&gt; 'バイクの運転経験年数', 'answer_type' =&gt; 'single'],</v>
      </c>
    </row>
    <row r="8" spans="1:6">
      <c r="A8" s="3">
        <v>500</v>
      </c>
      <c r="B8" s="3">
        <v>5</v>
      </c>
      <c r="C8" s="3" t="s">
        <v>4</v>
      </c>
      <c r="D8" s="3" t="s">
        <v>15</v>
      </c>
      <c r="E8" s="3" t="s">
        <v>22</v>
      </c>
      <c r="F8" t="str">
        <f t="shared" si="0"/>
        <v>['id' =&gt; 500, 'ono'=&gt;5, 'section' =&gt; '用途', 'body' =&gt; '主な用途（最も近いもの1つ）', 'answer_type' =&gt; 'single'],</v>
      </c>
    </row>
    <row r="9" spans="1:6">
      <c r="A9" s="3">
        <v>600</v>
      </c>
      <c r="B9" s="3">
        <v>6</v>
      </c>
      <c r="C9" s="3" t="s">
        <v>5</v>
      </c>
      <c r="D9" s="3" t="s">
        <v>16</v>
      </c>
      <c r="E9" s="3" t="s">
        <v>22</v>
      </c>
      <c r="F9" t="str">
        <f t="shared" si="0"/>
        <v>['id' =&gt; 600, 'ono'=&gt;6, 'section' =&gt; '環境', 'body' =&gt; '主な走行環境（最も近いもの1つ）', 'answer_type' =&gt; 'single'],</v>
      </c>
    </row>
    <row r="10" spans="1:6">
      <c r="A10" s="3">
        <v>700</v>
      </c>
      <c r="B10" s="3">
        <v>7</v>
      </c>
      <c r="C10" s="3" t="s">
        <v>6</v>
      </c>
      <c r="D10" s="3" t="s">
        <v>17</v>
      </c>
      <c r="E10" s="3" t="s">
        <v>22</v>
      </c>
      <c r="F10" t="str">
        <f t="shared" si="0"/>
        <v>['id' =&gt; 700, 'ono'=&gt;7, 'section' =&gt; '嗜好', 'body' =&gt; '取り回しの軽さ重視度', 'answer_type' =&gt; 'single'],</v>
      </c>
    </row>
    <row r="11" spans="1:6">
      <c r="A11" s="3">
        <v>800</v>
      </c>
      <c r="B11" s="3">
        <v>8</v>
      </c>
      <c r="C11" s="3" t="s">
        <v>7</v>
      </c>
      <c r="D11" s="3" t="s">
        <v>18</v>
      </c>
      <c r="E11" s="3" t="s">
        <v>22</v>
      </c>
      <c r="F11" t="str">
        <f t="shared" si="0"/>
        <v>['id' =&gt; 800, 'ono'=&gt;8, 'section' =&gt; 'コスト', 'body' =&gt; '維持費の重視度', 'answer_type' =&gt; 'single'],</v>
      </c>
    </row>
    <row r="12" spans="1:6">
      <c r="A12" s="3">
        <v>900</v>
      </c>
      <c r="B12" s="3">
        <v>9</v>
      </c>
      <c r="C12" s="3" t="s">
        <v>8</v>
      </c>
      <c r="D12" s="3" t="s">
        <v>19</v>
      </c>
      <c r="E12" s="3" t="s">
        <v>22</v>
      </c>
      <c r="F12" t="str">
        <f t="shared" si="0"/>
        <v>['id' =&gt; 900, 'ono'=&gt;9, 'section' =&gt; '快適', 'body' =&gt; '積載・快適性の重視度', 'answer_type' =&gt; 'single'],</v>
      </c>
    </row>
    <row r="13" spans="1:6">
      <c r="A13" s="3">
        <v>1000</v>
      </c>
      <c r="B13" s="3">
        <v>10</v>
      </c>
      <c r="C13" s="3" t="s">
        <v>9</v>
      </c>
      <c r="D13" s="3" t="s">
        <v>20</v>
      </c>
      <c r="E13" s="3" t="s">
        <v>22</v>
      </c>
      <c r="F13" t="str">
        <f t="shared" si="0"/>
        <v>['id' =&gt; 1000, 'ono'=&gt;10, 'section' =&gt; '制約', 'body' =&gt; '購入予算（万円）', 'answer_type' =&gt; 'single'],</v>
      </c>
    </row>
    <row r="14" spans="1:6">
      <c r="A14" s="3">
        <v>1100</v>
      </c>
      <c r="B14" s="3">
        <v>11</v>
      </c>
      <c r="C14" s="3" t="s">
        <v>10</v>
      </c>
      <c r="D14" s="3" t="s">
        <v>21</v>
      </c>
      <c r="E14" s="3" t="s">
        <v>22</v>
      </c>
      <c r="F14" t="str">
        <f t="shared" si="0"/>
        <v>['id' =&gt; 1100, 'ono'=&gt;11, 'section' =&gt; '免許', 'body' =&gt; '現在の二輪免許区分', 'answer_type' =&gt; 'single'],</v>
      </c>
    </row>
    <row r="15" spans="1:6">
      <c r="F15" s="2" t="s">
        <v>82</v>
      </c>
    </row>
    <row r="16" spans="1:6">
      <c r="F16" t="str">
        <f>SUBSTITUTE($F$2,"// docs","// End of docs")</f>
        <v xml:space="preserve">        // End of docs/bike_diagnosis_questionnaire.xlsx code 5313088969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zoomScale="175" zoomScaleNormal="175" workbookViewId="0"/>
  </sheetViews>
  <sheetFormatPr defaultRowHeight="13"/>
  <cols>
    <col min="3" max="3" width="11.81640625" customWidth="1"/>
    <col min="4" max="4" width="22.81640625" customWidth="1"/>
  </cols>
  <sheetData>
    <row r="1" spans="1:6">
      <c r="A1" t="s">
        <v>85</v>
      </c>
    </row>
    <row r="2" spans="1:6">
      <c r="A2" t="s">
        <v>83</v>
      </c>
      <c r="F2" t="str">
        <f>"        // docs/bike_diagnosis_questionnaire.xlsx "&amp;$A$1</f>
        <v xml:space="preserve">        // docs/bike_diagnosis_questionnaire.xlsx code 1646515591</v>
      </c>
    </row>
    <row r="3" spans="1:6">
      <c r="A3" s="3" t="s">
        <v>80</v>
      </c>
      <c r="B3" s="1" t="s">
        <v>90</v>
      </c>
      <c r="C3" s="1" t="s">
        <v>89</v>
      </c>
      <c r="D3" s="1" t="s">
        <v>84</v>
      </c>
      <c r="F3" t="str">
        <f>"DB::table('"&amp;$A$2&amp;"')-&gt;insert(["</f>
        <v>DB::table('bf_options')-&gt;insert([</v>
      </c>
    </row>
    <row r="4" spans="1:6">
      <c r="A4" s="3">
        <v>1001</v>
      </c>
      <c r="B4" s="3">
        <v>1</v>
      </c>
      <c r="C4" s="3">
        <v>100</v>
      </c>
      <c r="D4" s="3" t="s">
        <v>23</v>
      </c>
      <c r="F4" t="str">
        <f>"['"&amp;$A$3&amp;"' =&gt; "&amp;$A4&amp;",'"&amp;$B$3&amp;"' =&gt; "&amp;$B4&amp;", '"&amp;$C$3&amp;"' =&gt; "&amp;$C4&amp;", '"&amp;$D$3&amp;"' =&gt; '"&amp;$D4&amp;"',],"</f>
        <v>['id' =&gt; 1001,'sno' =&gt; 1, 'question_id' =&gt; 100, 'label' =&gt; '&lt;160cm',],</v>
      </c>
    </row>
    <row r="5" spans="1:6">
      <c r="A5" s="3">
        <v>1002</v>
      </c>
      <c r="B5" s="3">
        <v>2</v>
      </c>
      <c r="C5" s="3">
        <v>100</v>
      </c>
      <c r="D5" s="3" t="s">
        <v>24</v>
      </c>
      <c r="F5" t="str">
        <f t="shared" ref="F5:F50" si="0">"['"&amp;$A$3&amp;"' =&gt; "&amp;$A5&amp;",'"&amp;$B$3&amp;"' =&gt; "&amp;$B5&amp;", '"&amp;$C$3&amp;"' =&gt; "&amp;$C5&amp;", '"&amp;$D$3&amp;"' =&gt; '"&amp;$D5&amp;"',],"</f>
        <v>['id' =&gt; 1002,'sno' =&gt; 2, 'question_id' =&gt; 100, 'label' =&gt; '160-170cm',],</v>
      </c>
    </row>
    <row r="6" spans="1:6">
      <c r="A6" s="3">
        <v>1003</v>
      </c>
      <c r="B6" s="3">
        <v>3</v>
      </c>
      <c r="C6" s="3">
        <v>100</v>
      </c>
      <c r="D6" s="3" t="s">
        <v>25</v>
      </c>
      <c r="F6" t="str">
        <f t="shared" si="0"/>
        <v>['id' =&gt; 1003,'sno' =&gt; 3, 'question_id' =&gt; 100, 'label' =&gt; '170-180cm',],</v>
      </c>
    </row>
    <row r="7" spans="1:6">
      <c r="A7" s="3">
        <v>1004</v>
      </c>
      <c r="B7" s="3">
        <v>4</v>
      </c>
      <c r="C7" s="3">
        <v>100</v>
      </c>
      <c r="D7" s="3" t="s">
        <v>26</v>
      </c>
      <c r="F7" t="str">
        <f t="shared" si="0"/>
        <v>['id' =&gt; 1004,'sno' =&gt; 4, 'question_id' =&gt; 100, 'label' =&gt; '&gt;180cm',],</v>
      </c>
    </row>
    <row r="8" spans="1:6">
      <c r="A8" s="3">
        <v>2001</v>
      </c>
      <c r="B8" s="3">
        <v>1</v>
      </c>
      <c r="C8" s="3">
        <v>200</v>
      </c>
      <c r="D8" s="3" t="s">
        <v>27</v>
      </c>
      <c r="F8" t="str">
        <f t="shared" si="0"/>
        <v>['id' =&gt; 2001,'sno' =&gt; 1, 'question_id' =&gt; 200, 'label' =&gt; '&lt;55kg',],</v>
      </c>
    </row>
    <row r="9" spans="1:6">
      <c r="A9" s="3">
        <v>2002</v>
      </c>
      <c r="B9" s="3">
        <v>2</v>
      </c>
      <c r="C9" s="3">
        <v>200</v>
      </c>
      <c r="D9" s="3" t="s">
        <v>28</v>
      </c>
      <c r="F9" t="str">
        <f t="shared" si="0"/>
        <v>['id' =&gt; 2002,'sno' =&gt; 2, 'question_id' =&gt; 200, 'label' =&gt; '55-70kg',],</v>
      </c>
    </row>
    <row r="10" spans="1:6">
      <c r="A10" s="3">
        <v>2003</v>
      </c>
      <c r="B10" s="3">
        <v>3</v>
      </c>
      <c r="C10" s="3">
        <v>200</v>
      </c>
      <c r="D10" s="3" t="s">
        <v>29</v>
      </c>
      <c r="F10" t="str">
        <f t="shared" si="0"/>
        <v>['id' =&gt; 2003,'sno' =&gt; 3, 'question_id' =&gt; 200, 'label' =&gt; '70-85kg',],</v>
      </c>
    </row>
    <row r="11" spans="1:6">
      <c r="A11" s="3">
        <v>2004</v>
      </c>
      <c r="B11" s="3">
        <v>4</v>
      </c>
      <c r="C11" s="3">
        <v>200</v>
      </c>
      <c r="D11" s="3" t="s">
        <v>30</v>
      </c>
      <c r="F11" t="str">
        <f t="shared" si="0"/>
        <v>['id' =&gt; 2004,'sno' =&gt; 4, 'question_id' =&gt; 200, 'label' =&gt; '&gt;85kg',],</v>
      </c>
    </row>
    <row r="12" spans="1:6">
      <c r="A12" s="3">
        <v>3001</v>
      </c>
      <c r="B12" s="3">
        <v>1</v>
      </c>
      <c r="C12" s="3">
        <v>300</v>
      </c>
      <c r="D12" s="3" t="s">
        <v>31</v>
      </c>
      <c r="F12" t="str">
        <f t="shared" si="0"/>
        <v>['id' =&gt; 3001,'sno' =&gt; 1, 'question_id' =&gt; 300, 'label' =&gt; '気にしない',],</v>
      </c>
    </row>
    <row r="13" spans="1:6">
      <c r="A13" s="3">
        <v>3002</v>
      </c>
      <c r="B13" s="3">
        <v>2</v>
      </c>
      <c r="C13" s="3">
        <v>300</v>
      </c>
      <c r="D13" s="3" t="s">
        <v>32</v>
      </c>
      <c r="F13" t="str">
        <f t="shared" si="0"/>
        <v>['id' =&gt; 3002,'sno' =&gt; 2, 'question_id' =&gt; 300, 'label' =&gt; 'やや気にする',],</v>
      </c>
    </row>
    <row r="14" spans="1:6">
      <c r="A14" s="3">
        <v>3003</v>
      </c>
      <c r="B14" s="3">
        <v>3</v>
      </c>
      <c r="C14" s="3">
        <v>300</v>
      </c>
      <c r="D14" s="3" t="s">
        <v>33</v>
      </c>
      <c r="F14" t="str">
        <f t="shared" si="0"/>
        <v>['id' =&gt; 3003,'sno' =&gt; 3, 'question_id' =&gt; 300, 'label' =&gt; 'かなり気にする',],</v>
      </c>
    </row>
    <row r="15" spans="1:6">
      <c r="A15" s="3">
        <v>4001</v>
      </c>
      <c r="B15" s="3">
        <v>1</v>
      </c>
      <c r="C15" s="3">
        <v>400</v>
      </c>
      <c r="D15" s="3" t="s">
        <v>34</v>
      </c>
      <c r="F15" t="str">
        <f t="shared" si="0"/>
        <v>['id' =&gt; 4001,'sno' =&gt; 1, 'question_id' =&gt; 400, 'label' =&gt; 'なし',],</v>
      </c>
    </row>
    <row r="16" spans="1:6">
      <c r="A16" s="3">
        <v>4002</v>
      </c>
      <c r="B16" s="3">
        <v>2</v>
      </c>
      <c r="C16" s="3">
        <v>400</v>
      </c>
      <c r="D16" s="3" t="s">
        <v>35</v>
      </c>
      <c r="F16" t="str">
        <f t="shared" si="0"/>
        <v>['id' =&gt; 4002,'sno' =&gt; 2, 'question_id' =&gt; 400, 'label' =&gt; '教習中',],</v>
      </c>
    </row>
    <row r="17" spans="1:6">
      <c r="A17" s="3">
        <v>4003</v>
      </c>
      <c r="B17" s="3">
        <v>3</v>
      </c>
      <c r="C17" s="3">
        <v>400</v>
      </c>
      <c r="D17" s="3" t="s">
        <v>36</v>
      </c>
      <c r="F17" t="str">
        <f t="shared" si="0"/>
        <v>['id' =&gt; 4003,'sno' =&gt; 3, 'question_id' =&gt; 400, 'label' =&gt; '1年未満',],</v>
      </c>
    </row>
    <row r="18" spans="1:6">
      <c r="A18" s="3">
        <v>4004</v>
      </c>
      <c r="B18" s="3">
        <v>4</v>
      </c>
      <c r="C18" s="3">
        <v>400</v>
      </c>
      <c r="D18" s="3" t="s">
        <v>37</v>
      </c>
      <c r="F18" t="str">
        <f t="shared" si="0"/>
        <v>['id' =&gt; 4004,'sno' =&gt; 4, 'question_id' =&gt; 400, 'label' =&gt; '1-3年',],</v>
      </c>
    </row>
    <row r="19" spans="1:6">
      <c r="A19" s="3">
        <v>4005</v>
      </c>
      <c r="B19" s="3">
        <v>5</v>
      </c>
      <c r="C19" s="3">
        <v>400</v>
      </c>
      <c r="D19" s="3" t="s">
        <v>38</v>
      </c>
      <c r="F19" t="str">
        <f t="shared" si="0"/>
        <v>['id' =&gt; 4005,'sno' =&gt; 5, 'question_id' =&gt; 400, 'label' =&gt; '3年以上',],</v>
      </c>
    </row>
    <row r="20" spans="1:6">
      <c r="A20" s="3">
        <v>5001</v>
      </c>
      <c r="B20" s="3">
        <v>1</v>
      </c>
      <c r="C20" s="3">
        <v>500</v>
      </c>
      <c r="D20" s="3" t="s">
        <v>39</v>
      </c>
      <c r="F20" t="str">
        <f t="shared" si="0"/>
        <v>['id' =&gt; 5001,'sno' =&gt; 1, 'question_id' =&gt; 500, 'label' =&gt; '通勤通学',],</v>
      </c>
    </row>
    <row r="21" spans="1:6">
      <c r="A21" s="3">
        <v>5002</v>
      </c>
      <c r="B21" s="3">
        <v>2</v>
      </c>
      <c r="C21" s="3">
        <v>500</v>
      </c>
      <c r="D21" s="3" t="s">
        <v>40</v>
      </c>
      <c r="F21" t="str">
        <f t="shared" si="0"/>
        <v>['id' =&gt; 5002,'sno' =&gt; 2, 'question_id' =&gt; 500, 'label' =&gt; '街乗り',],</v>
      </c>
    </row>
    <row r="22" spans="1:6">
      <c r="A22" s="3">
        <v>5003</v>
      </c>
      <c r="B22" s="3">
        <v>3</v>
      </c>
      <c r="C22" s="3">
        <v>500</v>
      </c>
      <c r="D22" s="3" t="s">
        <v>41</v>
      </c>
      <c r="F22" t="str">
        <f t="shared" si="0"/>
        <v>['id' =&gt; 5003,'sno' =&gt; 3, 'question_id' =&gt; 500, 'label' =&gt; '週末ツーリング',],</v>
      </c>
    </row>
    <row r="23" spans="1:6">
      <c r="A23" s="3">
        <v>5004</v>
      </c>
      <c r="B23" s="3">
        <v>4</v>
      </c>
      <c r="C23" s="3">
        <v>500</v>
      </c>
      <c r="D23" s="3" t="s">
        <v>42</v>
      </c>
      <c r="F23" t="str">
        <f t="shared" si="0"/>
        <v>['id' =&gt; 5004,'sno' =&gt; 4, 'question_id' =&gt; 500, 'label' =&gt; '長距離ツアラー',],</v>
      </c>
    </row>
    <row r="24" spans="1:6">
      <c r="A24" s="3">
        <v>5005</v>
      </c>
      <c r="B24" s="3">
        <v>5</v>
      </c>
      <c r="C24" s="3">
        <v>500</v>
      </c>
      <c r="D24" s="3" t="s">
        <v>43</v>
      </c>
      <c r="F24" t="str">
        <f t="shared" si="0"/>
        <v>['id' =&gt; 5005,'sno' =&gt; 5, 'question_id' =&gt; 500, 'label' =&gt; 'オフロード',],</v>
      </c>
    </row>
    <row r="25" spans="1:6">
      <c r="A25" s="3">
        <v>5006</v>
      </c>
      <c r="B25" s="3">
        <v>6</v>
      </c>
      <c r="C25" s="3">
        <v>500</v>
      </c>
      <c r="D25" s="3" t="s">
        <v>44</v>
      </c>
      <c r="F25" t="str">
        <f t="shared" si="0"/>
        <v>['id' =&gt; 5006,'sno' =&gt; 6, 'question_id' =&gt; 500, 'label' =&gt; 'サーキット/峠',],</v>
      </c>
    </row>
    <row r="26" spans="1:6">
      <c r="A26" s="3">
        <v>5007</v>
      </c>
      <c r="B26" s="3">
        <v>7</v>
      </c>
      <c r="C26" s="3">
        <v>500</v>
      </c>
      <c r="D26" s="3" t="s">
        <v>45</v>
      </c>
      <c r="F26" t="str">
        <f t="shared" si="0"/>
        <v>['id' =&gt; 5007,'sno' =&gt; 7, 'question_id' =&gt; 500, 'label' =&gt; '二人乗りが多い',],</v>
      </c>
    </row>
    <row r="27" spans="1:6">
      <c r="A27" s="3">
        <v>5008</v>
      </c>
      <c r="B27" s="3">
        <v>8</v>
      </c>
      <c r="C27" s="3">
        <v>500</v>
      </c>
      <c r="D27" s="3" t="s">
        <v>46</v>
      </c>
      <c r="F27" t="str">
        <f t="shared" si="0"/>
        <v>['id' =&gt; 5008,'sno' =&gt; 8, 'question_id' =&gt; 500, 'label' =&gt; '買い物・積載重視',],</v>
      </c>
    </row>
    <row r="28" spans="1:6">
      <c r="A28" s="3">
        <v>6001</v>
      </c>
      <c r="B28" s="3">
        <v>1</v>
      </c>
      <c r="C28" s="3">
        <v>600</v>
      </c>
      <c r="D28" s="3" t="s">
        <v>47</v>
      </c>
      <c r="F28" t="str">
        <f t="shared" si="0"/>
        <v>['id' =&gt; 6001,'sno' =&gt; 1, 'question_id' =&gt; 600, 'label' =&gt; '都市部',],</v>
      </c>
    </row>
    <row r="29" spans="1:6">
      <c r="A29" s="3">
        <v>6002</v>
      </c>
      <c r="B29" s="3">
        <v>2</v>
      </c>
      <c r="C29" s="3">
        <v>600</v>
      </c>
      <c r="D29" s="3" t="s">
        <v>48</v>
      </c>
      <c r="F29" t="str">
        <f t="shared" si="0"/>
        <v>['id' =&gt; 6002,'sno' =&gt; 2, 'question_id' =&gt; 600, 'label' =&gt; '郊外',],</v>
      </c>
    </row>
    <row r="30" spans="1:6">
      <c r="A30" s="3">
        <v>6003</v>
      </c>
      <c r="B30" s="3">
        <v>3</v>
      </c>
      <c r="C30" s="3">
        <v>600</v>
      </c>
      <c r="D30" s="3" t="s">
        <v>49</v>
      </c>
      <c r="F30" t="str">
        <f t="shared" si="0"/>
        <v>['id' =&gt; 6003,'sno' =&gt; 3, 'question_id' =&gt; 600, 'label' =&gt; '山間部',],</v>
      </c>
    </row>
    <row r="31" spans="1:6">
      <c r="A31" s="3">
        <v>6004</v>
      </c>
      <c r="B31" s="3">
        <v>4</v>
      </c>
      <c r="C31" s="3">
        <v>600</v>
      </c>
      <c r="D31" s="3" t="s">
        <v>50</v>
      </c>
      <c r="F31" t="str">
        <f t="shared" si="0"/>
        <v>['id' =&gt; 6004,'sno' =&gt; 4, 'question_id' =&gt; 600, 'label' =&gt; '高速道路が多い',],</v>
      </c>
    </row>
    <row r="32" spans="1:6">
      <c r="A32" s="3">
        <v>6005</v>
      </c>
      <c r="B32" s="3">
        <v>5</v>
      </c>
      <c r="C32" s="3">
        <v>600</v>
      </c>
      <c r="D32" s="3" t="s">
        <v>51</v>
      </c>
      <c r="F32" t="str">
        <f t="shared" si="0"/>
        <v>['id' =&gt; 6005,'sno' =&gt; 5, 'question_id' =&gt; 600, 'label' =&gt; '未舗装路が多い',],</v>
      </c>
    </row>
    <row r="33" spans="1:6">
      <c r="A33" s="3">
        <v>7001</v>
      </c>
      <c r="B33" s="3">
        <v>1</v>
      </c>
      <c r="C33" s="3">
        <v>700</v>
      </c>
      <c r="D33" s="3" t="s">
        <v>52</v>
      </c>
      <c r="F33" t="str">
        <f t="shared" si="0"/>
        <v>['id' =&gt; 7001,'sno' =&gt; 1, 'question_id' =&gt; 700, 'label' =&gt; '低',],</v>
      </c>
    </row>
    <row r="34" spans="1:6">
      <c r="A34" s="3">
        <v>7002</v>
      </c>
      <c r="B34" s="3">
        <v>2</v>
      </c>
      <c r="C34" s="3">
        <v>700</v>
      </c>
      <c r="D34" s="3" t="s">
        <v>53</v>
      </c>
      <c r="F34" t="str">
        <f t="shared" si="0"/>
        <v>['id' =&gt; 7002,'sno' =&gt; 2, 'question_id' =&gt; 700, 'label' =&gt; '中',],</v>
      </c>
    </row>
    <row r="35" spans="1:6">
      <c r="A35" s="3">
        <v>7003</v>
      </c>
      <c r="B35" s="3">
        <v>3</v>
      </c>
      <c r="C35" s="3">
        <v>700</v>
      </c>
      <c r="D35" s="3" t="s">
        <v>54</v>
      </c>
      <c r="F35" t="str">
        <f t="shared" si="0"/>
        <v>['id' =&gt; 7003,'sno' =&gt; 3, 'question_id' =&gt; 700, 'label' =&gt; '高',],</v>
      </c>
    </row>
    <row r="36" spans="1:6">
      <c r="A36" s="3">
        <v>8001</v>
      </c>
      <c r="B36" s="10">
        <v>1</v>
      </c>
      <c r="C36" s="10">
        <v>800</v>
      </c>
      <c r="D36" s="10" t="s">
        <v>52</v>
      </c>
      <c r="F36" t="str">
        <f t="shared" si="0"/>
        <v>['id' =&gt; 8001,'sno' =&gt; 1, 'question_id' =&gt; 800, 'label' =&gt; '低',],</v>
      </c>
    </row>
    <row r="37" spans="1:6">
      <c r="A37" s="3">
        <v>8002</v>
      </c>
      <c r="B37" s="10">
        <v>2</v>
      </c>
      <c r="C37" s="10">
        <v>800</v>
      </c>
      <c r="D37" s="10" t="s">
        <v>53</v>
      </c>
      <c r="F37" t="str">
        <f t="shared" si="0"/>
        <v>['id' =&gt; 8002,'sno' =&gt; 2, 'question_id' =&gt; 800, 'label' =&gt; '中',],</v>
      </c>
    </row>
    <row r="38" spans="1:6">
      <c r="A38" s="3">
        <v>8003</v>
      </c>
      <c r="B38" s="10">
        <v>3</v>
      </c>
      <c r="C38" s="10">
        <v>800</v>
      </c>
      <c r="D38" s="10" t="s">
        <v>54</v>
      </c>
      <c r="F38" t="str">
        <f t="shared" si="0"/>
        <v>['id' =&gt; 8003,'sno' =&gt; 3, 'question_id' =&gt; 800, 'label' =&gt; '高',],</v>
      </c>
    </row>
    <row r="39" spans="1:6">
      <c r="A39" s="3">
        <v>9001</v>
      </c>
      <c r="B39" s="11">
        <v>1</v>
      </c>
      <c r="C39" s="11">
        <v>900</v>
      </c>
      <c r="D39" s="11" t="s">
        <v>52</v>
      </c>
      <c r="F39" t="str">
        <f t="shared" si="0"/>
        <v>['id' =&gt; 9001,'sno' =&gt; 1, 'question_id' =&gt; 900, 'label' =&gt; '低',],</v>
      </c>
    </row>
    <row r="40" spans="1:6">
      <c r="A40" s="3">
        <v>9002</v>
      </c>
      <c r="B40" s="11">
        <v>2</v>
      </c>
      <c r="C40" s="11">
        <v>900</v>
      </c>
      <c r="D40" s="11" t="s">
        <v>53</v>
      </c>
      <c r="F40" t="str">
        <f t="shared" si="0"/>
        <v>['id' =&gt; 9002,'sno' =&gt; 2, 'question_id' =&gt; 900, 'label' =&gt; '中',],</v>
      </c>
    </row>
    <row r="41" spans="1:6">
      <c r="A41" s="3">
        <v>9003</v>
      </c>
      <c r="B41" s="11">
        <v>3</v>
      </c>
      <c r="C41" s="11">
        <v>900</v>
      </c>
      <c r="D41" s="11" t="s">
        <v>54</v>
      </c>
      <c r="F41" t="str">
        <f t="shared" si="0"/>
        <v>['id' =&gt; 9003,'sno' =&gt; 3, 'question_id' =&gt; 900, 'label' =&gt; '高',],</v>
      </c>
    </row>
    <row r="42" spans="1:6">
      <c r="A42" s="3">
        <v>10001</v>
      </c>
      <c r="B42" s="12">
        <v>1</v>
      </c>
      <c r="C42" s="12">
        <v>1000</v>
      </c>
      <c r="D42" s="12" t="s">
        <v>58</v>
      </c>
      <c r="F42" t="str">
        <f t="shared" si="0"/>
        <v>['id' =&gt; 10001,'sno' =&gt; 1, 'question_id' =&gt; 1000, 'label' =&gt; '&lt;30',],</v>
      </c>
    </row>
    <row r="43" spans="1:6">
      <c r="A43" s="3">
        <v>10002</v>
      </c>
      <c r="B43" s="12">
        <v>2</v>
      </c>
      <c r="C43" s="12">
        <v>1000</v>
      </c>
      <c r="D43" s="12" t="s">
        <v>59</v>
      </c>
      <c r="F43" t="str">
        <f t="shared" si="0"/>
        <v>['id' =&gt; 10002,'sno' =&gt; 2, 'question_id' =&gt; 1000, 'label' =&gt; '30-60',],</v>
      </c>
    </row>
    <row r="44" spans="1:6">
      <c r="A44" s="3">
        <v>10003</v>
      </c>
      <c r="B44" s="12">
        <v>3</v>
      </c>
      <c r="C44" s="12">
        <v>1000</v>
      </c>
      <c r="D44" s="12" t="s">
        <v>60</v>
      </c>
      <c r="F44" t="str">
        <f t="shared" si="0"/>
        <v>['id' =&gt; 10003,'sno' =&gt; 3, 'question_id' =&gt; 1000, 'label' =&gt; '60-100',],</v>
      </c>
    </row>
    <row r="45" spans="1:6">
      <c r="A45" s="3">
        <v>10004</v>
      </c>
      <c r="B45" s="12">
        <v>4</v>
      </c>
      <c r="C45" s="12">
        <v>1000</v>
      </c>
      <c r="D45" s="12" t="s">
        <v>61</v>
      </c>
      <c r="F45" t="str">
        <f t="shared" si="0"/>
        <v>['id' =&gt; 10004,'sno' =&gt; 4, 'question_id' =&gt; 1000, 'label' =&gt; '100-150',],</v>
      </c>
    </row>
    <row r="46" spans="1:6">
      <c r="A46" s="3">
        <v>10005</v>
      </c>
      <c r="B46" s="12">
        <v>5</v>
      </c>
      <c r="C46" s="12">
        <v>1000</v>
      </c>
      <c r="D46" s="12" t="s">
        <v>62</v>
      </c>
      <c r="F46" t="str">
        <f t="shared" si="0"/>
        <v>['id' =&gt; 10005,'sno' =&gt; 5, 'question_id' =&gt; 1000, 'label' =&gt; '&gt;150',],</v>
      </c>
    </row>
    <row r="47" spans="1:6">
      <c r="A47" s="3">
        <v>11001</v>
      </c>
      <c r="B47" s="13">
        <v>1</v>
      </c>
      <c r="C47" s="13">
        <v>1100</v>
      </c>
      <c r="D47" s="13" t="s">
        <v>63</v>
      </c>
      <c r="F47" t="str">
        <f t="shared" si="0"/>
        <v>['id' =&gt; 11001,'sno' =&gt; 1, 'question_id' =&gt; 1100, 'label' =&gt; '原付',],</v>
      </c>
    </row>
    <row r="48" spans="1:6">
      <c r="A48" s="3">
        <v>11002</v>
      </c>
      <c r="B48" s="13">
        <v>2</v>
      </c>
      <c r="C48" s="13">
        <v>1100</v>
      </c>
      <c r="D48" s="13" t="s">
        <v>64</v>
      </c>
      <c r="F48" t="str">
        <f t="shared" si="0"/>
        <v>['id' =&gt; 11002,'sno' =&gt; 2, 'question_id' =&gt; 1100, 'label' =&gt; '小型限定',],</v>
      </c>
    </row>
    <row r="49" spans="1:6">
      <c r="A49" s="3">
        <v>11003</v>
      </c>
      <c r="B49" s="13">
        <v>3</v>
      </c>
      <c r="C49" s="13">
        <v>1100</v>
      </c>
      <c r="D49" s="13" t="s">
        <v>65</v>
      </c>
      <c r="F49" t="str">
        <f t="shared" si="0"/>
        <v>['id' =&gt; 11003,'sno' =&gt; 3, 'question_id' =&gt; 1100, 'label' =&gt; '普通二輪',],</v>
      </c>
    </row>
    <row r="50" spans="1:6">
      <c r="A50" s="3">
        <v>11004</v>
      </c>
      <c r="B50" s="13">
        <v>4</v>
      </c>
      <c r="C50" s="13">
        <v>1100</v>
      </c>
      <c r="D50" s="13" t="s">
        <v>66</v>
      </c>
      <c r="F50" t="str">
        <f t="shared" si="0"/>
        <v>['id' =&gt; 11004,'sno' =&gt; 4, 'question_id' =&gt; 1100, 'label' =&gt; '大型',],</v>
      </c>
    </row>
    <row r="51" spans="1:6">
      <c r="F51" s="2" t="s">
        <v>82</v>
      </c>
    </row>
    <row r="52" spans="1:6">
      <c r="F52" t="str">
        <f>SUBSTITUTE($F$2,"// docs","// End of docs")</f>
        <v xml:space="preserve">        // End of docs/bike_diagnosis_questionnaire.xlsx code 1646515591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tabSelected="1" zoomScale="145" zoomScaleNormal="145" workbookViewId="0"/>
  </sheetViews>
  <sheetFormatPr defaultRowHeight="13"/>
  <cols>
    <col min="2" max="2" width="18.7265625" customWidth="1"/>
  </cols>
  <sheetData>
    <row r="1" spans="1:5">
      <c r="A1" t="s">
        <v>88</v>
      </c>
    </row>
    <row r="2" spans="1:5">
      <c r="A2" t="s">
        <v>87</v>
      </c>
      <c r="E2" t="str">
        <f>"        // docs/bike_diagnosis_questionnaire.xlsx "&amp;$A$1</f>
        <v xml:space="preserve">        // docs/bike_diagnosis_questionnaire.xlsx code 3993290321</v>
      </c>
    </row>
    <row r="3" spans="1:5">
      <c r="A3" s="1" t="s">
        <v>80</v>
      </c>
      <c r="B3" s="1" t="s">
        <v>86</v>
      </c>
      <c r="E3" t="str">
        <f>"DB::table('"&amp;$A$2&amp;"')-&gt;insert(["</f>
        <v>DB::table('bf_genres')-&gt;insert([</v>
      </c>
    </row>
    <row r="4" spans="1:5">
      <c r="A4" s="3">
        <v>8010</v>
      </c>
      <c r="B4" s="3" t="s">
        <v>67</v>
      </c>
      <c r="C4" t="str">
        <f>$B4&amp;" ジャンルのオートバイを描いてください。"</f>
        <v>ネイキッド ジャンルのオートバイを描いてください。</v>
      </c>
      <c r="D4" t="str">
        <f>"case "&amp;$A4&amp;": return '"&amp;$B4&amp;"';"</f>
        <v>case 8010: return 'ネイキッド';</v>
      </c>
      <c r="E4" t="str">
        <f>"['"&amp;$A$3&amp;"' =&gt; "&amp;$A4&amp;", '"&amp;$B$3&amp;"' =&gt; '"&amp;$B4&amp;"',],"</f>
        <v>['id' =&gt; 8010, 'name' =&gt; 'ネイキッド',],</v>
      </c>
    </row>
    <row r="5" spans="1:5">
      <c r="A5" s="3">
        <v>8020</v>
      </c>
      <c r="B5" s="3" t="s">
        <v>68</v>
      </c>
      <c r="C5" t="str">
        <f t="shared" ref="C5:C18" si="0">$B5&amp;" ジャンルのオートバイを描いてください。"</f>
        <v>スーパースポーツ ジャンルのオートバイを描いてください。</v>
      </c>
      <c r="D5" t="str">
        <f t="shared" ref="D5:D18" si="1">"case "&amp;$A5&amp;": return '"&amp;$B5&amp;"';"</f>
        <v>case 8020: return 'スーパースポーツ';</v>
      </c>
      <c r="E5" t="str">
        <f t="shared" ref="E5:E18" si="2">"['"&amp;$A$3&amp;"' =&gt; "&amp;$A5&amp;", '"&amp;$B$3&amp;"' =&gt; '"&amp;$B5&amp;"',],"</f>
        <v>['id' =&gt; 8020, 'name' =&gt; 'スーパースポーツ',],</v>
      </c>
    </row>
    <row r="6" spans="1:5">
      <c r="A6" s="3">
        <v>8030</v>
      </c>
      <c r="B6" s="3" t="s">
        <v>69</v>
      </c>
      <c r="C6" t="str">
        <f t="shared" si="0"/>
        <v>レーサーレプリカ ジャンルのオートバイを描いてください。</v>
      </c>
      <c r="D6" t="str">
        <f t="shared" si="1"/>
        <v>case 8030: return 'レーサーレプリカ';</v>
      </c>
      <c r="E6" t="str">
        <f t="shared" si="2"/>
        <v>['id' =&gt; 8030, 'name' =&gt; 'レーサーレプリカ',],</v>
      </c>
    </row>
    <row r="7" spans="1:5">
      <c r="A7" s="3">
        <v>8040</v>
      </c>
      <c r="B7" s="3" t="s">
        <v>43</v>
      </c>
      <c r="C7" t="str">
        <f t="shared" si="0"/>
        <v>オフロード ジャンルのオートバイを描いてください。</v>
      </c>
      <c r="D7" t="str">
        <f t="shared" si="1"/>
        <v>case 8040: return 'オフロード';</v>
      </c>
      <c r="E7" t="str">
        <f t="shared" si="2"/>
        <v>['id' =&gt; 8040, 'name' =&gt; 'オフロード',],</v>
      </c>
    </row>
    <row r="8" spans="1:5">
      <c r="A8" s="3">
        <v>8050</v>
      </c>
      <c r="B8" s="3" t="s">
        <v>70</v>
      </c>
      <c r="C8" t="str">
        <f t="shared" si="0"/>
        <v>モタード ジャンルのオートバイを描いてください。</v>
      </c>
      <c r="D8" t="str">
        <f t="shared" si="1"/>
        <v>case 8050: return 'モタード';</v>
      </c>
      <c r="E8" t="str">
        <f t="shared" si="2"/>
        <v>['id' =&gt; 8050, 'name' =&gt; 'モタード',],</v>
      </c>
    </row>
    <row r="9" spans="1:5">
      <c r="A9" s="3">
        <v>8060</v>
      </c>
      <c r="B9" s="3" t="s">
        <v>71</v>
      </c>
      <c r="C9" t="str">
        <f t="shared" si="0"/>
        <v>ストリートファイター ジャンルのオートバイを描いてください。</v>
      </c>
      <c r="D9" t="str">
        <f t="shared" si="1"/>
        <v>case 8060: return 'ストリートファイター';</v>
      </c>
      <c r="E9" t="str">
        <f t="shared" si="2"/>
        <v>['id' =&gt; 8060, 'name' =&gt; 'ストリートファイター',],</v>
      </c>
    </row>
    <row r="10" spans="1:5">
      <c r="A10" s="3">
        <v>8070</v>
      </c>
      <c r="B10" s="3" t="s">
        <v>72</v>
      </c>
      <c r="C10" t="str">
        <f t="shared" si="0"/>
        <v>クルーザー ジャンルのオートバイを描いてください。</v>
      </c>
      <c r="D10" t="str">
        <f t="shared" si="1"/>
        <v>case 8070: return 'クルーザー';</v>
      </c>
      <c r="E10" t="str">
        <f t="shared" si="2"/>
        <v>['id' =&gt; 8070, 'name' =&gt; 'クルーザー',],</v>
      </c>
    </row>
    <row r="11" spans="1:5">
      <c r="A11" s="3">
        <v>8080</v>
      </c>
      <c r="B11" s="3" t="s">
        <v>73</v>
      </c>
      <c r="C11" t="str">
        <f t="shared" si="0"/>
        <v>ツアラー ジャンルのオートバイを描いてください。</v>
      </c>
      <c r="D11" t="str">
        <f t="shared" si="1"/>
        <v>case 8080: return 'ツアラー';</v>
      </c>
      <c r="E11" t="str">
        <f t="shared" si="2"/>
        <v>['id' =&gt; 8080, 'name' =&gt; 'ツアラー',],</v>
      </c>
    </row>
    <row r="12" spans="1:5">
      <c r="A12" s="3">
        <v>8090</v>
      </c>
      <c r="B12" s="3" t="s">
        <v>74</v>
      </c>
      <c r="C12" t="str">
        <f t="shared" si="0"/>
        <v>カフェレーサー ジャンルのオートバイを描いてください。</v>
      </c>
      <c r="D12" t="str">
        <f t="shared" si="1"/>
        <v>case 8090: return 'カフェレーサー';</v>
      </c>
      <c r="E12" t="str">
        <f t="shared" si="2"/>
        <v>['id' =&gt; 8090, 'name' =&gt; 'カフェレーサー',],</v>
      </c>
    </row>
    <row r="13" spans="1:5">
      <c r="A13" s="3">
        <v>8100</v>
      </c>
      <c r="B13" s="3" t="s">
        <v>75</v>
      </c>
      <c r="C13" t="str">
        <f t="shared" si="0"/>
        <v>スクランブラー ジャンルのオートバイを描いてください。</v>
      </c>
      <c r="D13" t="str">
        <f t="shared" si="1"/>
        <v>case 8100: return 'スクランブラー';</v>
      </c>
      <c r="E13" t="str">
        <f t="shared" si="2"/>
        <v>['id' =&gt; 8100, 'name' =&gt; 'スクランブラー',],</v>
      </c>
    </row>
    <row r="14" spans="1:5">
      <c r="A14" s="3">
        <v>8110</v>
      </c>
      <c r="B14" s="3" t="s">
        <v>56</v>
      </c>
      <c r="C14" t="str">
        <f t="shared" si="0"/>
        <v>アドベンチャー ジャンルのオートバイを描いてください。</v>
      </c>
      <c r="D14" t="str">
        <f t="shared" si="1"/>
        <v>case 8110: return 'アドベンチャー';</v>
      </c>
      <c r="E14" t="str">
        <f t="shared" si="2"/>
        <v>['id' =&gt; 8110, 'name' =&gt; 'アドベンチャー',],</v>
      </c>
    </row>
    <row r="15" spans="1:5">
      <c r="A15" s="3">
        <v>8120</v>
      </c>
      <c r="B15" s="3" t="s">
        <v>55</v>
      </c>
      <c r="C15" t="str">
        <f t="shared" si="0"/>
        <v>クラシック ジャンルのオートバイを描いてください。</v>
      </c>
      <c r="D15" t="str">
        <f t="shared" si="1"/>
        <v>case 8120: return 'クラシック';</v>
      </c>
      <c r="E15" t="str">
        <f t="shared" si="2"/>
        <v>['id' =&gt; 8120, 'name' =&gt; 'クラシック',],</v>
      </c>
    </row>
    <row r="16" spans="1:5">
      <c r="A16" s="3">
        <v>8130</v>
      </c>
      <c r="B16" s="3" t="s">
        <v>76</v>
      </c>
      <c r="C16" t="str">
        <f t="shared" si="0"/>
        <v>ネオクラシック ジャンルのオートバイを描いてください。</v>
      </c>
      <c r="D16" t="str">
        <f t="shared" si="1"/>
        <v>case 8130: return 'ネオクラシック';</v>
      </c>
      <c r="E16" t="str">
        <f t="shared" si="2"/>
        <v>['id' =&gt; 8130, 'name' =&gt; 'ネオクラシック',],</v>
      </c>
    </row>
    <row r="17" spans="1:5">
      <c r="A17" s="3">
        <v>8140</v>
      </c>
      <c r="B17" s="3" t="s">
        <v>57</v>
      </c>
      <c r="C17" t="str">
        <f t="shared" si="0"/>
        <v>スクーター ジャンルのオートバイを描いてください。</v>
      </c>
      <c r="D17" t="str">
        <f t="shared" si="1"/>
        <v>case 8140: return 'スクーター';</v>
      </c>
      <c r="E17" t="str">
        <f t="shared" si="2"/>
        <v>['id' =&gt; 8140, 'name' =&gt; 'スクーター',],</v>
      </c>
    </row>
    <row r="18" spans="1:5">
      <c r="A18" s="3">
        <v>8150</v>
      </c>
      <c r="B18" s="3" t="s">
        <v>77</v>
      </c>
      <c r="C18" t="str">
        <f t="shared" si="0"/>
        <v>ミニバイク ジャンルのオートバイを描いてください。</v>
      </c>
      <c r="D18" t="str">
        <f t="shared" si="1"/>
        <v>case 8150: return 'ミニバイク';</v>
      </c>
      <c r="E18" t="str">
        <f t="shared" si="2"/>
        <v>['id' =&gt; 8150, 'name' =&gt; 'ミニバイク',],</v>
      </c>
    </row>
    <row r="19" spans="1:5">
      <c r="E19" s="2" t="s">
        <v>82</v>
      </c>
    </row>
    <row r="20" spans="1:5">
      <c r="E20" t="str">
        <f>SUBSTITUTE($E$2,"// docs","// End of docs")</f>
        <v xml:space="preserve">        // End of docs/bike_diagnosis_questionnaire.xlsx code 3993290321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D0B8-8724-4C83-8E34-D95DA01AED1F}">
  <dimension ref="A1:AH53"/>
  <sheetViews>
    <sheetView topLeftCell="A2" workbookViewId="0">
      <selection activeCell="A2" sqref="A2"/>
    </sheetView>
  </sheetViews>
  <sheetFormatPr defaultRowHeight="13"/>
  <cols>
    <col min="1" max="16384" width="8.7265625" style="4"/>
  </cols>
  <sheetData>
    <row r="1" spans="1:34" ht="29" customHeight="1">
      <c r="A1" t="s">
        <v>92</v>
      </c>
      <c r="D1" s="7" t="s">
        <v>67</v>
      </c>
      <c r="E1" s="7" t="s">
        <v>68</v>
      </c>
      <c r="F1" s="7" t="s">
        <v>69</v>
      </c>
      <c r="G1" s="7" t="s">
        <v>43</v>
      </c>
      <c r="H1" s="7" t="s">
        <v>70</v>
      </c>
      <c r="I1" s="7" t="s">
        <v>71</v>
      </c>
      <c r="J1" s="7" t="s">
        <v>72</v>
      </c>
      <c r="K1" s="7" t="s">
        <v>73</v>
      </c>
      <c r="L1" s="7" t="s">
        <v>74</v>
      </c>
      <c r="M1" s="7" t="s">
        <v>75</v>
      </c>
      <c r="N1" s="7" t="s">
        <v>56</v>
      </c>
      <c r="O1" s="7" t="s">
        <v>55</v>
      </c>
      <c r="P1" s="7" t="s">
        <v>76</v>
      </c>
      <c r="Q1" s="7" t="s">
        <v>57</v>
      </c>
      <c r="R1" s="7" t="s">
        <v>77</v>
      </c>
    </row>
    <row r="2" spans="1:34" ht="29" customHeight="1">
      <c r="A2" s="4" t="s">
        <v>91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34" ht="29" customHeight="1">
      <c r="B3" s="8" t="s">
        <v>93</v>
      </c>
      <c r="C3" s="8" t="s">
        <v>94</v>
      </c>
      <c r="D3" s="9" t="s">
        <v>95</v>
      </c>
      <c r="E3" s="9" t="s">
        <v>96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T3" t="str">
        <f>"        // docs/bike_diagnosis_questionnaire.xlsx "&amp;$A$1</f>
        <v xml:space="preserve">        // docs/bike_diagnosis_questionnaire.xlsx code 3230580247</v>
      </c>
    </row>
    <row r="4" spans="1:34" ht="29" customHeight="1">
      <c r="D4" s="3">
        <v>8010</v>
      </c>
      <c r="E4" s="3">
        <v>8020</v>
      </c>
      <c r="F4" s="3">
        <v>8030</v>
      </c>
      <c r="G4" s="3">
        <v>8040</v>
      </c>
      <c r="H4" s="3">
        <v>8050</v>
      </c>
      <c r="I4" s="3">
        <v>8060</v>
      </c>
      <c r="J4" s="3">
        <v>8070</v>
      </c>
      <c r="K4" s="3">
        <v>8080</v>
      </c>
      <c r="L4" s="3">
        <v>8090</v>
      </c>
      <c r="M4" s="3">
        <v>8100</v>
      </c>
      <c r="N4" s="3">
        <v>8110</v>
      </c>
      <c r="O4" s="3">
        <v>8120</v>
      </c>
      <c r="P4" s="3">
        <v>8130</v>
      </c>
      <c r="Q4" s="3">
        <v>8140</v>
      </c>
      <c r="R4" s="3">
        <v>8150</v>
      </c>
      <c r="T4" t="str">
        <f>"DB::table('"&amp;$A$2&amp;"')-&gt;insert(["</f>
        <v>DB::table('bf_weights')-&gt;insert([</v>
      </c>
    </row>
    <row r="5" spans="1:34">
      <c r="A5" s="22"/>
      <c r="B5" s="6">
        <v>100</v>
      </c>
      <c r="C5" s="3">
        <v>1001</v>
      </c>
      <c r="D5" s="5">
        <v>50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50</v>
      </c>
      <c r="R5" s="5">
        <v>50</v>
      </c>
      <c r="T5" t="str">
        <f>"['"&amp;$B$3&amp;"' =&gt; "&amp;$B5&amp;", '"&amp;$C$3&amp;"' =&gt; "&amp;$C5&amp;", '"&amp;$D$3&amp;"' =&gt; "&amp;D$4&amp;", '"&amp;$E$3&amp;"' =&gt; "&amp;D5&amp;"],"</f>
        <v>['question_id' =&gt; 100, 'option_id' =&gt; 1001, 'genre_id' =&gt; 8010, 'score' =&gt; 50],</v>
      </c>
      <c r="U5" t="str">
        <f t="shared" ref="U5:U51" si="0">"['"&amp;$B$3&amp;"' =&gt; "&amp;$B5&amp;", '"&amp;$C$3&amp;"' =&gt; "&amp;$C5&amp;", '"&amp;$D$3&amp;"' =&gt; "&amp;E$4&amp;", '"&amp;$E$3&amp;"' =&gt; "&amp;E5&amp;"],"</f>
        <v>['question_id' =&gt; 100, 'option_id' =&gt; 1001, 'genre_id' =&gt; 8020, 'score' =&gt; 0],</v>
      </c>
      <c r="V5" t="str">
        <f t="shared" ref="V5:V51" si="1">"['"&amp;$B$3&amp;"' =&gt; "&amp;$B5&amp;", '"&amp;$C$3&amp;"' =&gt; "&amp;$C5&amp;", '"&amp;$D$3&amp;"' =&gt; "&amp;F$4&amp;", '"&amp;$E$3&amp;"' =&gt; "&amp;F5&amp;"],"</f>
        <v>['question_id' =&gt; 100, 'option_id' =&gt; 1001, 'genre_id' =&gt; 8030, 'score' =&gt; 0],</v>
      </c>
      <c r="W5" t="str">
        <f t="shared" ref="W5:W51" si="2">"['"&amp;$B$3&amp;"' =&gt; "&amp;$B5&amp;", '"&amp;$C$3&amp;"' =&gt; "&amp;$C5&amp;", '"&amp;$D$3&amp;"' =&gt; "&amp;G$4&amp;", '"&amp;$E$3&amp;"' =&gt; "&amp;G5&amp;"],"</f>
        <v>['question_id' =&gt; 100, 'option_id' =&gt; 1001, 'genre_id' =&gt; 8040, 'score' =&gt; 0],</v>
      </c>
      <c r="X5" t="str">
        <f t="shared" ref="X5:X51" si="3">"['"&amp;$B$3&amp;"' =&gt; "&amp;$B5&amp;", '"&amp;$C$3&amp;"' =&gt; "&amp;$C5&amp;", '"&amp;$D$3&amp;"' =&gt; "&amp;H$4&amp;", '"&amp;$E$3&amp;"' =&gt; "&amp;H5&amp;"],"</f>
        <v>['question_id' =&gt; 100, 'option_id' =&gt; 1001, 'genre_id' =&gt; 8050, 'score' =&gt; 0],</v>
      </c>
      <c r="Y5" t="str">
        <f t="shared" ref="Y5:Y51" si="4">"['"&amp;$B$3&amp;"' =&gt; "&amp;$B5&amp;", '"&amp;$C$3&amp;"' =&gt; "&amp;$C5&amp;", '"&amp;$D$3&amp;"' =&gt; "&amp;I$4&amp;", '"&amp;$E$3&amp;"' =&gt; "&amp;I5&amp;"],"</f>
        <v>['question_id' =&gt; 100, 'option_id' =&gt; 1001, 'genre_id' =&gt; 8060, 'score' =&gt; 0],</v>
      </c>
      <c r="Z5" t="str">
        <f t="shared" ref="Z5:Z51" si="5">"['"&amp;$B$3&amp;"' =&gt; "&amp;$B5&amp;", '"&amp;$C$3&amp;"' =&gt; "&amp;$C5&amp;", '"&amp;$D$3&amp;"' =&gt; "&amp;J$4&amp;", '"&amp;$E$3&amp;"' =&gt; "&amp;J5&amp;"],"</f>
        <v>['question_id' =&gt; 100, 'option_id' =&gt; 1001, 'genre_id' =&gt; 8070, 'score' =&gt; 0],</v>
      </c>
      <c r="AA5" t="str">
        <f t="shared" ref="AA5:AA51" si="6">"['"&amp;$B$3&amp;"' =&gt; "&amp;$B5&amp;", '"&amp;$C$3&amp;"' =&gt; "&amp;$C5&amp;", '"&amp;$D$3&amp;"' =&gt; "&amp;K$4&amp;", '"&amp;$E$3&amp;"' =&gt; "&amp;K5&amp;"],"</f>
        <v>['question_id' =&gt; 100, 'option_id' =&gt; 1001, 'genre_id' =&gt; 8080, 'score' =&gt; 0],</v>
      </c>
      <c r="AB5" t="str">
        <f t="shared" ref="AB5:AB51" si="7">"['"&amp;$B$3&amp;"' =&gt; "&amp;$B5&amp;", '"&amp;$C$3&amp;"' =&gt; "&amp;$C5&amp;", '"&amp;$D$3&amp;"' =&gt; "&amp;L$4&amp;", '"&amp;$E$3&amp;"' =&gt; "&amp;L5&amp;"],"</f>
        <v>['question_id' =&gt; 100, 'option_id' =&gt; 1001, 'genre_id' =&gt; 8090, 'score' =&gt; 0],</v>
      </c>
      <c r="AC5" t="str">
        <f t="shared" ref="AC5:AC51" si="8">"['"&amp;$B$3&amp;"' =&gt; "&amp;$B5&amp;", '"&amp;$C$3&amp;"' =&gt; "&amp;$C5&amp;", '"&amp;$D$3&amp;"' =&gt; "&amp;M$4&amp;", '"&amp;$E$3&amp;"' =&gt; "&amp;M5&amp;"],"</f>
        <v>['question_id' =&gt; 100, 'option_id' =&gt; 1001, 'genre_id' =&gt; 8100, 'score' =&gt; 0],</v>
      </c>
      <c r="AD5" t="str">
        <f t="shared" ref="AD5:AD51" si="9">"['"&amp;$B$3&amp;"' =&gt; "&amp;$B5&amp;", '"&amp;$C$3&amp;"' =&gt; "&amp;$C5&amp;", '"&amp;$D$3&amp;"' =&gt; "&amp;N$4&amp;", '"&amp;$E$3&amp;"' =&gt; "&amp;N5&amp;"],"</f>
        <v>['question_id' =&gt; 100, 'option_id' =&gt; 1001, 'genre_id' =&gt; 8110, 'score' =&gt; 0],</v>
      </c>
      <c r="AE5" t="str">
        <f t="shared" ref="AE5:AE51" si="10">"['"&amp;$B$3&amp;"' =&gt; "&amp;$B5&amp;", '"&amp;$C$3&amp;"' =&gt; "&amp;$C5&amp;", '"&amp;$D$3&amp;"' =&gt; "&amp;O$4&amp;", '"&amp;$E$3&amp;"' =&gt; "&amp;O5&amp;"],"</f>
        <v>['question_id' =&gt; 100, 'option_id' =&gt; 1001, 'genre_id' =&gt; 8120, 'score' =&gt; 0],</v>
      </c>
      <c r="AF5" t="str">
        <f t="shared" ref="AF5:AF51" si="11">"['"&amp;$B$3&amp;"' =&gt; "&amp;$B5&amp;", '"&amp;$C$3&amp;"' =&gt; "&amp;$C5&amp;", '"&amp;$D$3&amp;"' =&gt; "&amp;P$4&amp;", '"&amp;$E$3&amp;"' =&gt; "&amp;P5&amp;"],"</f>
        <v>['question_id' =&gt; 100, 'option_id' =&gt; 1001, 'genre_id' =&gt; 8130, 'score' =&gt; 0],</v>
      </c>
      <c r="AG5" t="str">
        <f t="shared" ref="AG5:AG51" si="12">"['"&amp;$B$3&amp;"' =&gt; "&amp;$B5&amp;", '"&amp;$C$3&amp;"' =&gt; "&amp;$C5&amp;", '"&amp;$D$3&amp;"' =&gt; "&amp;Q$4&amp;", '"&amp;$E$3&amp;"' =&gt; "&amp;Q5&amp;"],"</f>
        <v>['question_id' =&gt; 100, 'option_id' =&gt; 1001, 'genre_id' =&gt; 8140, 'score' =&gt; 50],</v>
      </c>
      <c r="AH5" t="str">
        <f t="shared" ref="AH5:AH51" si="13">"['"&amp;$B$3&amp;"' =&gt; "&amp;$B5&amp;", '"&amp;$C$3&amp;"' =&gt; "&amp;$C5&amp;", '"&amp;$D$3&amp;"' =&gt; "&amp;R$4&amp;", '"&amp;$E$3&amp;"' =&gt; "&amp;R5&amp;"],"</f>
        <v>['question_id' =&gt; 100, 'option_id' =&gt; 1001, 'genre_id' =&gt; 8150, 'score' =&gt; 50],</v>
      </c>
    </row>
    <row r="6" spans="1:34">
      <c r="A6" s="22"/>
      <c r="B6" s="6">
        <v>100</v>
      </c>
      <c r="C6" s="3">
        <v>1002</v>
      </c>
      <c r="D6" s="5">
        <v>40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40</v>
      </c>
      <c r="P6" s="5">
        <v>40</v>
      </c>
      <c r="Q6" s="5">
        <v>40</v>
      </c>
      <c r="R6" s="5">
        <v>40</v>
      </c>
      <c r="T6" t="str">
        <f t="shared" ref="T6:T51" si="14">"['"&amp;$B$3&amp;"' =&gt; "&amp;$B6&amp;", '"&amp;$C$3&amp;"' =&gt; "&amp;$C6&amp;", '"&amp;$D$3&amp;"' =&gt; "&amp;D$4&amp;", '"&amp;$E$3&amp;"' =&gt; "&amp;D6&amp;"],"</f>
        <v>['question_id' =&gt; 100, 'option_id' =&gt; 1002, 'genre_id' =&gt; 8010, 'score' =&gt; 40],</v>
      </c>
      <c r="U6" t="str">
        <f t="shared" si="0"/>
        <v>['question_id' =&gt; 100, 'option_id' =&gt; 1002, 'genre_id' =&gt; 8020, 'score' =&gt; 0],</v>
      </c>
      <c r="V6" t="str">
        <f t="shared" si="1"/>
        <v>['question_id' =&gt; 100, 'option_id' =&gt; 1002, 'genre_id' =&gt; 8030, 'score' =&gt; 0],</v>
      </c>
      <c r="W6" t="str">
        <f t="shared" si="2"/>
        <v>['question_id' =&gt; 100, 'option_id' =&gt; 1002, 'genre_id' =&gt; 8040, 'score' =&gt; 0],</v>
      </c>
      <c r="X6" t="str">
        <f t="shared" si="3"/>
        <v>['question_id' =&gt; 100, 'option_id' =&gt; 1002, 'genre_id' =&gt; 8050, 'score' =&gt; 0],</v>
      </c>
      <c r="Y6" t="str">
        <f t="shared" si="4"/>
        <v>['question_id' =&gt; 100, 'option_id' =&gt; 1002, 'genre_id' =&gt; 8060, 'score' =&gt; 0],</v>
      </c>
      <c r="Z6" t="str">
        <f t="shared" si="5"/>
        <v>['question_id' =&gt; 100, 'option_id' =&gt; 1002, 'genre_id' =&gt; 8070, 'score' =&gt; 0],</v>
      </c>
      <c r="AA6" t="str">
        <f t="shared" si="6"/>
        <v>['question_id' =&gt; 100, 'option_id' =&gt; 1002, 'genre_id' =&gt; 8080, 'score' =&gt; 0],</v>
      </c>
      <c r="AB6" t="str">
        <f t="shared" si="7"/>
        <v>['question_id' =&gt; 100, 'option_id' =&gt; 1002, 'genre_id' =&gt; 8090, 'score' =&gt; 0],</v>
      </c>
      <c r="AC6" t="str">
        <f t="shared" si="8"/>
        <v>['question_id' =&gt; 100, 'option_id' =&gt; 1002, 'genre_id' =&gt; 8100, 'score' =&gt; 0],</v>
      </c>
      <c r="AD6" t="str">
        <f t="shared" si="9"/>
        <v>['question_id' =&gt; 100, 'option_id' =&gt; 1002, 'genre_id' =&gt; 8110, 'score' =&gt; 0],</v>
      </c>
      <c r="AE6" t="str">
        <f t="shared" si="10"/>
        <v>['question_id' =&gt; 100, 'option_id' =&gt; 1002, 'genre_id' =&gt; 8120, 'score' =&gt; 40],</v>
      </c>
      <c r="AF6" t="str">
        <f t="shared" si="11"/>
        <v>['question_id' =&gt; 100, 'option_id' =&gt; 1002, 'genre_id' =&gt; 8130, 'score' =&gt; 40],</v>
      </c>
      <c r="AG6" t="str">
        <f t="shared" si="12"/>
        <v>['question_id' =&gt; 100, 'option_id' =&gt; 1002, 'genre_id' =&gt; 8140, 'score' =&gt; 40],</v>
      </c>
      <c r="AH6" t="str">
        <f t="shared" si="13"/>
        <v>['question_id' =&gt; 100, 'option_id' =&gt; 1002, 'genre_id' =&gt; 8150, 'score' =&gt; 40],</v>
      </c>
    </row>
    <row r="7" spans="1:34">
      <c r="A7" s="22"/>
      <c r="B7" s="6">
        <v>100</v>
      </c>
      <c r="C7" s="3">
        <v>1003</v>
      </c>
      <c r="D7" s="5">
        <v>0</v>
      </c>
      <c r="E7" s="5">
        <v>40</v>
      </c>
      <c r="F7" s="5">
        <v>0</v>
      </c>
      <c r="G7" s="5">
        <v>0</v>
      </c>
      <c r="H7" s="5">
        <v>0</v>
      </c>
      <c r="I7" s="5">
        <v>40</v>
      </c>
      <c r="J7" s="5">
        <v>40</v>
      </c>
      <c r="K7" s="5">
        <v>40</v>
      </c>
      <c r="L7" s="5">
        <v>0</v>
      </c>
      <c r="M7" s="5">
        <v>0</v>
      </c>
      <c r="N7" s="5">
        <v>40</v>
      </c>
      <c r="O7" s="5">
        <v>0</v>
      </c>
      <c r="P7" s="5">
        <v>0</v>
      </c>
      <c r="Q7" s="5">
        <v>0</v>
      </c>
      <c r="R7" s="5">
        <v>0</v>
      </c>
      <c r="T7" t="str">
        <f t="shared" si="14"/>
        <v>['question_id' =&gt; 100, 'option_id' =&gt; 1003, 'genre_id' =&gt; 8010, 'score' =&gt; 0],</v>
      </c>
      <c r="U7" t="str">
        <f t="shared" si="0"/>
        <v>['question_id' =&gt; 100, 'option_id' =&gt; 1003, 'genre_id' =&gt; 8020, 'score' =&gt; 40],</v>
      </c>
      <c r="V7" t="str">
        <f t="shared" si="1"/>
        <v>['question_id' =&gt; 100, 'option_id' =&gt; 1003, 'genre_id' =&gt; 8030, 'score' =&gt; 0],</v>
      </c>
      <c r="W7" t="str">
        <f t="shared" si="2"/>
        <v>['question_id' =&gt; 100, 'option_id' =&gt; 1003, 'genre_id' =&gt; 8040, 'score' =&gt; 0],</v>
      </c>
      <c r="X7" t="str">
        <f t="shared" si="3"/>
        <v>['question_id' =&gt; 100, 'option_id' =&gt; 1003, 'genre_id' =&gt; 8050, 'score' =&gt; 0],</v>
      </c>
      <c r="Y7" t="str">
        <f t="shared" si="4"/>
        <v>['question_id' =&gt; 100, 'option_id' =&gt; 1003, 'genre_id' =&gt; 8060, 'score' =&gt; 40],</v>
      </c>
      <c r="Z7" t="str">
        <f t="shared" si="5"/>
        <v>['question_id' =&gt; 100, 'option_id' =&gt; 1003, 'genre_id' =&gt; 8070, 'score' =&gt; 40],</v>
      </c>
      <c r="AA7" t="str">
        <f t="shared" si="6"/>
        <v>['question_id' =&gt; 100, 'option_id' =&gt; 1003, 'genre_id' =&gt; 8080, 'score' =&gt; 40],</v>
      </c>
      <c r="AB7" t="str">
        <f t="shared" si="7"/>
        <v>['question_id' =&gt; 100, 'option_id' =&gt; 1003, 'genre_id' =&gt; 8090, 'score' =&gt; 0],</v>
      </c>
      <c r="AC7" t="str">
        <f t="shared" si="8"/>
        <v>['question_id' =&gt; 100, 'option_id' =&gt; 1003, 'genre_id' =&gt; 8100, 'score' =&gt; 0],</v>
      </c>
      <c r="AD7" t="str">
        <f t="shared" si="9"/>
        <v>['question_id' =&gt; 100, 'option_id' =&gt; 1003, 'genre_id' =&gt; 8110, 'score' =&gt; 40],</v>
      </c>
      <c r="AE7" t="str">
        <f t="shared" si="10"/>
        <v>['question_id' =&gt; 100, 'option_id' =&gt; 1003, 'genre_id' =&gt; 8120, 'score' =&gt; 0],</v>
      </c>
      <c r="AF7" t="str">
        <f t="shared" si="11"/>
        <v>['question_id' =&gt; 100, 'option_id' =&gt; 1003, 'genre_id' =&gt; 8130, 'score' =&gt; 0],</v>
      </c>
      <c r="AG7" t="str">
        <f t="shared" si="12"/>
        <v>['question_id' =&gt; 100, 'option_id' =&gt; 1003, 'genre_id' =&gt; 8140, 'score' =&gt; 0],</v>
      </c>
      <c r="AH7" t="str">
        <f t="shared" si="13"/>
        <v>['question_id' =&gt; 100, 'option_id' =&gt; 1003, 'genre_id' =&gt; 8150, 'score' =&gt; 0],</v>
      </c>
    </row>
    <row r="8" spans="1:34">
      <c r="A8" s="22"/>
      <c r="B8" s="6">
        <v>100</v>
      </c>
      <c r="C8" s="3">
        <v>1004</v>
      </c>
      <c r="D8" s="5">
        <v>0</v>
      </c>
      <c r="E8" s="5">
        <v>40</v>
      </c>
      <c r="F8" s="5">
        <v>0</v>
      </c>
      <c r="G8" s="5">
        <v>0</v>
      </c>
      <c r="H8" s="5">
        <v>0</v>
      </c>
      <c r="I8" s="5">
        <v>40</v>
      </c>
      <c r="J8" s="5">
        <v>40</v>
      </c>
      <c r="K8" s="5">
        <v>40</v>
      </c>
      <c r="L8" s="5">
        <v>0</v>
      </c>
      <c r="M8" s="5">
        <v>0</v>
      </c>
      <c r="N8" s="5">
        <v>40</v>
      </c>
      <c r="O8" s="5">
        <v>0</v>
      </c>
      <c r="P8" s="5">
        <v>0</v>
      </c>
      <c r="Q8" s="5">
        <v>0</v>
      </c>
      <c r="R8" s="5">
        <v>0</v>
      </c>
      <c r="T8" t="str">
        <f t="shared" si="14"/>
        <v>['question_id' =&gt; 100, 'option_id' =&gt; 1004, 'genre_id' =&gt; 8010, 'score' =&gt; 0],</v>
      </c>
      <c r="U8" t="str">
        <f t="shared" si="0"/>
        <v>['question_id' =&gt; 100, 'option_id' =&gt; 1004, 'genre_id' =&gt; 8020, 'score' =&gt; 40],</v>
      </c>
      <c r="V8" t="str">
        <f t="shared" si="1"/>
        <v>['question_id' =&gt; 100, 'option_id' =&gt; 1004, 'genre_id' =&gt; 8030, 'score' =&gt; 0],</v>
      </c>
      <c r="W8" t="str">
        <f t="shared" si="2"/>
        <v>['question_id' =&gt; 100, 'option_id' =&gt; 1004, 'genre_id' =&gt; 8040, 'score' =&gt; 0],</v>
      </c>
      <c r="X8" t="str">
        <f t="shared" si="3"/>
        <v>['question_id' =&gt; 100, 'option_id' =&gt; 1004, 'genre_id' =&gt; 8050, 'score' =&gt; 0],</v>
      </c>
      <c r="Y8" t="str">
        <f t="shared" si="4"/>
        <v>['question_id' =&gt; 100, 'option_id' =&gt; 1004, 'genre_id' =&gt; 8060, 'score' =&gt; 40],</v>
      </c>
      <c r="Z8" t="str">
        <f t="shared" si="5"/>
        <v>['question_id' =&gt; 100, 'option_id' =&gt; 1004, 'genre_id' =&gt; 8070, 'score' =&gt; 40],</v>
      </c>
      <c r="AA8" t="str">
        <f t="shared" si="6"/>
        <v>['question_id' =&gt; 100, 'option_id' =&gt; 1004, 'genre_id' =&gt; 8080, 'score' =&gt; 40],</v>
      </c>
      <c r="AB8" t="str">
        <f t="shared" si="7"/>
        <v>['question_id' =&gt; 100, 'option_id' =&gt; 1004, 'genre_id' =&gt; 8090, 'score' =&gt; 0],</v>
      </c>
      <c r="AC8" t="str">
        <f t="shared" si="8"/>
        <v>['question_id' =&gt; 100, 'option_id' =&gt; 1004, 'genre_id' =&gt; 8100, 'score' =&gt; 0],</v>
      </c>
      <c r="AD8" t="str">
        <f t="shared" si="9"/>
        <v>['question_id' =&gt; 100, 'option_id' =&gt; 1004, 'genre_id' =&gt; 8110, 'score' =&gt; 40],</v>
      </c>
      <c r="AE8" t="str">
        <f t="shared" si="10"/>
        <v>['question_id' =&gt; 100, 'option_id' =&gt; 1004, 'genre_id' =&gt; 8120, 'score' =&gt; 0],</v>
      </c>
      <c r="AF8" t="str">
        <f t="shared" si="11"/>
        <v>['question_id' =&gt; 100, 'option_id' =&gt; 1004, 'genre_id' =&gt; 8130, 'score' =&gt; 0],</v>
      </c>
      <c r="AG8" t="str">
        <f t="shared" si="12"/>
        <v>['question_id' =&gt; 100, 'option_id' =&gt; 1004, 'genre_id' =&gt; 8140, 'score' =&gt; 0],</v>
      </c>
      <c r="AH8" t="str">
        <f t="shared" si="13"/>
        <v>['question_id' =&gt; 100, 'option_id' =&gt; 1004, 'genre_id' =&gt; 8150, 'score' =&gt; 0],</v>
      </c>
    </row>
    <row r="9" spans="1:34">
      <c r="A9" s="22"/>
      <c r="B9" s="6">
        <v>200</v>
      </c>
      <c r="C9" s="3">
        <v>2001</v>
      </c>
      <c r="D9" s="5">
        <v>50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50</v>
      </c>
      <c r="R9" s="5">
        <v>50</v>
      </c>
      <c r="T9" t="str">
        <f t="shared" si="14"/>
        <v>['question_id' =&gt; 200, 'option_id' =&gt; 2001, 'genre_id' =&gt; 8010, 'score' =&gt; 50],</v>
      </c>
      <c r="U9" t="str">
        <f t="shared" si="0"/>
        <v>['question_id' =&gt; 200, 'option_id' =&gt; 2001, 'genre_id' =&gt; 8020, 'score' =&gt; 0],</v>
      </c>
      <c r="V9" t="str">
        <f t="shared" si="1"/>
        <v>['question_id' =&gt; 200, 'option_id' =&gt; 2001, 'genre_id' =&gt; 8030, 'score' =&gt; 0],</v>
      </c>
      <c r="W9" t="str">
        <f t="shared" si="2"/>
        <v>['question_id' =&gt; 200, 'option_id' =&gt; 2001, 'genre_id' =&gt; 8040, 'score' =&gt; 0],</v>
      </c>
      <c r="X9" t="str">
        <f t="shared" si="3"/>
        <v>['question_id' =&gt; 200, 'option_id' =&gt; 2001, 'genre_id' =&gt; 8050, 'score' =&gt; 0],</v>
      </c>
      <c r="Y9" t="str">
        <f t="shared" si="4"/>
        <v>['question_id' =&gt; 200, 'option_id' =&gt; 2001, 'genre_id' =&gt; 8060, 'score' =&gt; 0],</v>
      </c>
      <c r="Z9" t="str">
        <f t="shared" si="5"/>
        <v>['question_id' =&gt; 200, 'option_id' =&gt; 2001, 'genre_id' =&gt; 8070, 'score' =&gt; 0],</v>
      </c>
      <c r="AA9" t="str">
        <f t="shared" si="6"/>
        <v>['question_id' =&gt; 200, 'option_id' =&gt; 2001, 'genre_id' =&gt; 8080, 'score' =&gt; 0],</v>
      </c>
      <c r="AB9" t="str">
        <f t="shared" si="7"/>
        <v>['question_id' =&gt; 200, 'option_id' =&gt; 2001, 'genre_id' =&gt; 8090, 'score' =&gt; 0],</v>
      </c>
      <c r="AC9" t="str">
        <f t="shared" si="8"/>
        <v>['question_id' =&gt; 200, 'option_id' =&gt; 2001, 'genre_id' =&gt; 8100, 'score' =&gt; 0],</v>
      </c>
      <c r="AD9" t="str">
        <f t="shared" si="9"/>
        <v>['question_id' =&gt; 200, 'option_id' =&gt; 2001, 'genre_id' =&gt; 8110, 'score' =&gt; 0],</v>
      </c>
      <c r="AE9" t="str">
        <f t="shared" si="10"/>
        <v>['question_id' =&gt; 200, 'option_id' =&gt; 2001, 'genre_id' =&gt; 8120, 'score' =&gt; 0],</v>
      </c>
      <c r="AF9" t="str">
        <f t="shared" si="11"/>
        <v>['question_id' =&gt; 200, 'option_id' =&gt; 2001, 'genre_id' =&gt; 8130, 'score' =&gt; 0],</v>
      </c>
      <c r="AG9" t="str">
        <f t="shared" si="12"/>
        <v>['question_id' =&gt; 200, 'option_id' =&gt; 2001, 'genre_id' =&gt; 8140, 'score' =&gt; 50],</v>
      </c>
      <c r="AH9" t="str">
        <f t="shared" si="13"/>
        <v>['question_id' =&gt; 200, 'option_id' =&gt; 2001, 'genre_id' =&gt; 8150, 'score' =&gt; 50],</v>
      </c>
    </row>
    <row r="10" spans="1:34">
      <c r="A10" s="22"/>
      <c r="B10" s="6">
        <v>200</v>
      </c>
      <c r="C10" s="3">
        <v>2002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t="str">
        <f t="shared" si="14"/>
        <v>['question_id' =&gt; 200, 'option_id' =&gt; 2002, 'genre_id' =&gt; 8010, 'score' =&gt; 0],</v>
      </c>
      <c r="U10" t="str">
        <f t="shared" si="0"/>
        <v>['question_id' =&gt; 200, 'option_id' =&gt; 2002, 'genre_id' =&gt; 8020, 'score' =&gt; 0],</v>
      </c>
      <c r="V10" t="str">
        <f t="shared" si="1"/>
        <v>['question_id' =&gt; 200, 'option_id' =&gt; 2002, 'genre_id' =&gt; 8030, 'score' =&gt; 0],</v>
      </c>
      <c r="W10" t="str">
        <f t="shared" si="2"/>
        <v>['question_id' =&gt; 200, 'option_id' =&gt; 2002, 'genre_id' =&gt; 8040, 'score' =&gt; 0],</v>
      </c>
      <c r="X10" t="str">
        <f t="shared" si="3"/>
        <v>['question_id' =&gt; 200, 'option_id' =&gt; 2002, 'genre_id' =&gt; 8050, 'score' =&gt; 0],</v>
      </c>
      <c r="Y10" t="str">
        <f t="shared" si="4"/>
        <v>['question_id' =&gt; 200, 'option_id' =&gt; 2002, 'genre_id' =&gt; 8060, 'score' =&gt; 0],</v>
      </c>
      <c r="Z10" t="str">
        <f t="shared" si="5"/>
        <v>['question_id' =&gt; 200, 'option_id' =&gt; 2002, 'genre_id' =&gt; 8070, 'score' =&gt; 0],</v>
      </c>
      <c r="AA10" t="str">
        <f t="shared" si="6"/>
        <v>['question_id' =&gt; 200, 'option_id' =&gt; 2002, 'genre_id' =&gt; 8080, 'score' =&gt; 0],</v>
      </c>
      <c r="AB10" t="str">
        <f t="shared" si="7"/>
        <v>['question_id' =&gt; 200, 'option_id' =&gt; 2002, 'genre_id' =&gt; 8090, 'score' =&gt; 0],</v>
      </c>
      <c r="AC10" t="str">
        <f t="shared" si="8"/>
        <v>['question_id' =&gt; 200, 'option_id' =&gt; 2002, 'genre_id' =&gt; 8100, 'score' =&gt; 0],</v>
      </c>
      <c r="AD10" t="str">
        <f t="shared" si="9"/>
        <v>['question_id' =&gt; 200, 'option_id' =&gt; 2002, 'genre_id' =&gt; 8110, 'score' =&gt; 0],</v>
      </c>
      <c r="AE10" t="str">
        <f t="shared" si="10"/>
        <v>['question_id' =&gt; 200, 'option_id' =&gt; 2002, 'genre_id' =&gt; 8120, 'score' =&gt; 0],</v>
      </c>
      <c r="AF10" t="str">
        <f t="shared" si="11"/>
        <v>['question_id' =&gt; 200, 'option_id' =&gt; 2002, 'genre_id' =&gt; 8130, 'score' =&gt; 0],</v>
      </c>
      <c r="AG10" t="str">
        <f t="shared" si="12"/>
        <v>['question_id' =&gt; 200, 'option_id' =&gt; 2002, 'genre_id' =&gt; 8140, 'score' =&gt; 0],</v>
      </c>
      <c r="AH10" t="str">
        <f t="shared" si="13"/>
        <v>['question_id' =&gt; 200, 'option_id' =&gt; 2002, 'genre_id' =&gt; 8150, 'score' =&gt; 0],</v>
      </c>
    </row>
    <row r="11" spans="1:34">
      <c r="A11" s="22"/>
      <c r="B11" s="6">
        <v>200</v>
      </c>
      <c r="C11" s="3">
        <v>2003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40</v>
      </c>
      <c r="K11" s="5">
        <v>40</v>
      </c>
      <c r="L11" s="5">
        <v>0</v>
      </c>
      <c r="M11" s="5">
        <v>0</v>
      </c>
      <c r="N11" s="5">
        <v>40</v>
      </c>
      <c r="O11" s="5">
        <v>0</v>
      </c>
      <c r="P11" s="5">
        <v>0</v>
      </c>
      <c r="Q11" s="5">
        <v>0</v>
      </c>
      <c r="R11" s="5">
        <v>0</v>
      </c>
      <c r="T11" t="str">
        <f t="shared" si="14"/>
        <v>['question_id' =&gt; 200, 'option_id' =&gt; 2003, 'genre_id' =&gt; 8010, 'score' =&gt; 0],</v>
      </c>
      <c r="U11" t="str">
        <f t="shared" si="0"/>
        <v>['question_id' =&gt; 200, 'option_id' =&gt; 2003, 'genre_id' =&gt; 8020, 'score' =&gt; 0],</v>
      </c>
      <c r="V11" t="str">
        <f t="shared" si="1"/>
        <v>['question_id' =&gt; 200, 'option_id' =&gt; 2003, 'genre_id' =&gt; 8030, 'score' =&gt; 0],</v>
      </c>
      <c r="W11" t="str">
        <f t="shared" si="2"/>
        <v>['question_id' =&gt; 200, 'option_id' =&gt; 2003, 'genre_id' =&gt; 8040, 'score' =&gt; 0],</v>
      </c>
      <c r="X11" t="str">
        <f t="shared" si="3"/>
        <v>['question_id' =&gt; 200, 'option_id' =&gt; 2003, 'genre_id' =&gt; 8050, 'score' =&gt; 0],</v>
      </c>
      <c r="Y11" t="str">
        <f t="shared" si="4"/>
        <v>['question_id' =&gt; 200, 'option_id' =&gt; 2003, 'genre_id' =&gt; 8060, 'score' =&gt; 0],</v>
      </c>
      <c r="Z11" t="str">
        <f t="shared" si="5"/>
        <v>['question_id' =&gt; 200, 'option_id' =&gt; 2003, 'genre_id' =&gt; 8070, 'score' =&gt; 40],</v>
      </c>
      <c r="AA11" t="str">
        <f t="shared" si="6"/>
        <v>['question_id' =&gt; 200, 'option_id' =&gt; 2003, 'genre_id' =&gt; 8080, 'score' =&gt; 40],</v>
      </c>
      <c r="AB11" t="str">
        <f t="shared" si="7"/>
        <v>['question_id' =&gt; 200, 'option_id' =&gt; 2003, 'genre_id' =&gt; 8090, 'score' =&gt; 0],</v>
      </c>
      <c r="AC11" t="str">
        <f t="shared" si="8"/>
        <v>['question_id' =&gt; 200, 'option_id' =&gt; 2003, 'genre_id' =&gt; 8100, 'score' =&gt; 0],</v>
      </c>
      <c r="AD11" t="str">
        <f t="shared" si="9"/>
        <v>['question_id' =&gt; 200, 'option_id' =&gt; 2003, 'genre_id' =&gt; 8110, 'score' =&gt; 40],</v>
      </c>
      <c r="AE11" t="str">
        <f t="shared" si="10"/>
        <v>['question_id' =&gt; 200, 'option_id' =&gt; 2003, 'genre_id' =&gt; 8120, 'score' =&gt; 0],</v>
      </c>
      <c r="AF11" t="str">
        <f t="shared" si="11"/>
        <v>['question_id' =&gt; 200, 'option_id' =&gt; 2003, 'genre_id' =&gt; 8130, 'score' =&gt; 0],</v>
      </c>
      <c r="AG11" t="str">
        <f t="shared" si="12"/>
        <v>['question_id' =&gt; 200, 'option_id' =&gt; 2003, 'genre_id' =&gt; 8140, 'score' =&gt; 0],</v>
      </c>
      <c r="AH11" t="str">
        <f t="shared" si="13"/>
        <v>['question_id' =&gt; 200, 'option_id' =&gt; 2003, 'genre_id' =&gt; 8150, 'score' =&gt; 0],</v>
      </c>
    </row>
    <row r="12" spans="1:34">
      <c r="A12" s="22"/>
      <c r="B12" s="6">
        <v>200</v>
      </c>
      <c r="C12" s="3">
        <v>2004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40</v>
      </c>
      <c r="K12" s="5">
        <v>40</v>
      </c>
      <c r="L12" s="5">
        <v>0</v>
      </c>
      <c r="M12" s="5">
        <v>0</v>
      </c>
      <c r="N12" s="5">
        <v>40</v>
      </c>
      <c r="O12" s="5">
        <v>0</v>
      </c>
      <c r="P12" s="5">
        <v>0</v>
      </c>
      <c r="Q12" s="5">
        <v>0</v>
      </c>
      <c r="R12" s="5">
        <v>0</v>
      </c>
      <c r="T12" t="str">
        <f t="shared" si="14"/>
        <v>['question_id' =&gt; 200, 'option_id' =&gt; 2004, 'genre_id' =&gt; 8010, 'score' =&gt; 0],</v>
      </c>
      <c r="U12" t="str">
        <f t="shared" si="0"/>
        <v>['question_id' =&gt; 200, 'option_id' =&gt; 2004, 'genre_id' =&gt; 8020, 'score' =&gt; 0],</v>
      </c>
      <c r="V12" t="str">
        <f t="shared" si="1"/>
        <v>['question_id' =&gt; 200, 'option_id' =&gt; 2004, 'genre_id' =&gt; 8030, 'score' =&gt; 0],</v>
      </c>
      <c r="W12" t="str">
        <f t="shared" si="2"/>
        <v>['question_id' =&gt; 200, 'option_id' =&gt; 2004, 'genre_id' =&gt; 8040, 'score' =&gt; 0],</v>
      </c>
      <c r="X12" t="str">
        <f t="shared" si="3"/>
        <v>['question_id' =&gt; 200, 'option_id' =&gt; 2004, 'genre_id' =&gt; 8050, 'score' =&gt; 0],</v>
      </c>
      <c r="Y12" t="str">
        <f t="shared" si="4"/>
        <v>['question_id' =&gt; 200, 'option_id' =&gt; 2004, 'genre_id' =&gt; 8060, 'score' =&gt; 0],</v>
      </c>
      <c r="Z12" t="str">
        <f t="shared" si="5"/>
        <v>['question_id' =&gt; 200, 'option_id' =&gt; 2004, 'genre_id' =&gt; 8070, 'score' =&gt; 40],</v>
      </c>
      <c r="AA12" t="str">
        <f t="shared" si="6"/>
        <v>['question_id' =&gt; 200, 'option_id' =&gt; 2004, 'genre_id' =&gt; 8080, 'score' =&gt; 40],</v>
      </c>
      <c r="AB12" t="str">
        <f t="shared" si="7"/>
        <v>['question_id' =&gt; 200, 'option_id' =&gt; 2004, 'genre_id' =&gt; 8090, 'score' =&gt; 0],</v>
      </c>
      <c r="AC12" t="str">
        <f t="shared" si="8"/>
        <v>['question_id' =&gt; 200, 'option_id' =&gt; 2004, 'genre_id' =&gt; 8100, 'score' =&gt; 0],</v>
      </c>
      <c r="AD12" t="str">
        <f t="shared" si="9"/>
        <v>['question_id' =&gt; 200, 'option_id' =&gt; 2004, 'genre_id' =&gt; 8110, 'score' =&gt; 40],</v>
      </c>
      <c r="AE12" t="str">
        <f t="shared" si="10"/>
        <v>['question_id' =&gt; 200, 'option_id' =&gt; 2004, 'genre_id' =&gt; 8120, 'score' =&gt; 0],</v>
      </c>
      <c r="AF12" t="str">
        <f t="shared" si="11"/>
        <v>['question_id' =&gt; 200, 'option_id' =&gt; 2004, 'genre_id' =&gt; 8130, 'score' =&gt; 0],</v>
      </c>
      <c r="AG12" t="str">
        <f t="shared" si="12"/>
        <v>['question_id' =&gt; 200, 'option_id' =&gt; 2004, 'genre_id' =&gt; 8140, 'score' =&gt; 0],</v>
      </c>
      <c r="AH12" t="str">
        <f t="shared" si="13"/>
        <v>['question_id' =&gt; 200, 'option_id' =&gt; 2004, 'genre_id' =&gt; 8150, 'score' =&gt; 0],</v>
      </c>
    </row>
    <row r="13" spans="1:34">
      <c r="A13" s="22"/>
      <c r="B13" s="6">
        <v>300</v>
      </c>
      <c r="C13" s="3">
        <v>3001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t="str">
        <f t="shared" si="14"/>
        <v>['question_id' =&gt; 300, 'option_id' =&gt; 3001, 'genre_id' =&gt; 8010, 'score' =&gt; 0],</v>
      </c>
      <c r="U13" t="str">
        <f t="shared" si="0"/>
        <v>['question_id' =&gt; 300, 'option_id' =&gt; 3001, 'genre_id' =&gt; 8020, 'score' =&gt; 0],</v>
      </c>
      <c r="V13" t="str">
        <f t="shared" si="1"/>
        <v>['question_id' =&gt; 300, 'option_id' =&gt; 3001, 'genre_id' =&gt; 8030, 'score' =&gt; 0],</v>
      </c>
      <c r="W13" t="str">
        <f t="shared" si="2"/>
        <v>['question_id' =&gt; 300, 'option_id' =&gt; 3001, 'genre_id' =&gt; 8040, 'score' =&gt; 0],</v>
      </c>
      <c r="X13" t="str">
        <f t="shared" si="3"/>
        <v>['question_id' =&gt; 300, 'option_id' =&gt; 3001, 'genre_id' =&gt; 8050, 'score' =&gt; 0],</v>
      </c>
      <c r="Y13" t="str">
        <f t="shared" si="4"/>
        <v>['question_id' =&gt; 300, 'option_id' =&gt; 3001, 'genre_id' =&gt; 8060, 'score' =&gt; 0],</v>
      </c>
      <c r="Z13" t="str">
        <f t="shared" si="5"/>
        <v>['question_id' =&gt; 300, 'option_id' =&gt; 3001, 'genre_id' =&gt; 8070, 'score' =&gt; 0],</v>
      </c>
      <c r="AA13" t="str">
        <f t="shared" si="6"/>
        <v>['question_id' =&gt; 300, 'option_id' =&gt; 3001, 'genre_id' =&gt; 8080, 'score' =&gt; 0],</v>
      </c>
      <c r="AB13" t="str">
        <f t="shared" si="7"/>
        <v>['question_id' =&gt; 300, 'option_id' =&gt; 3001, 'genre_id' =&gt; 8090, 'score' =&gt; 0],</v>
      </c>
      <c r="AC13" t="str">
        <f t="shared" si="8"/>
        <v>['question_id' =&gt; 300, 'option_id' =&gt; 3001, 'genre_id' =&gt; 8100, 'score' =&gt; 0],</v>
      </c>
      <c r="AD13" t="str">
        <f t="shared" si="9"/>
        <v>['question_id' =&gt; 300, 'option_id' =&gt; 3001, 'genre_id' =&gt; 8110, 'score' =&gt; 0],</v>
      </c>
      <c r="AE13" t="str">
        <f t="shared" si="10"/>
        <v>['question_id' =&gt; 300, 'option_id' =&gt; 3001, 'genre_id' =&gt; 8120, 'score' =&gt; 0],</v>
      </c>
      <c r="AF13" t="str">
        <f t="shared" si="11"/>
        <v>['question_id' =&gt; 300, 'option_id' =&gt; 3001, 'genre_id' =&gt; 8130, 'score' =&gt; 0],</v>
      </c>
      <c r="AG13" t="str">
        <f t="shared" si="12"/>
        <v>['question_id' =&gt; 300, 'option_id' =&gt; 3001, 'genre_id' =&gt; 8140, 'score' =&gt; 0],</v>
      </c>
      <c r="AH13" t="str">
        <f t="shared" si="13"/>
        <v>['question_id' =&gt; 300, 'option_id' =&gt; 3001, 'genre_id' =&gt; 8150, 'score' =&gt; 0],</v>
      </c>
    </row>
    <row r="14" spans="1:34">
      <c r="A14" s="22"/>
      <c r="B14" s="6">
        <v>300</v>
      </c>
      <c r="C14" s="3">
        <v>3002</v>
      </c>
      <c r="D14" s="5">
        <v>30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30</v>
      </c>
      <c r="P14" s="5">
        <v>30</v>
      </c>
      <c r="Q14" s="5">
        <v>0</v>
      </c>
      <c r="R14" s="5">
        <v>0</v>
      </c>
      <c r="T14" t="str">
        <f t="shared" si="14"/>
        <v>['question_id' =&gt; 300, 'option_id' =&gt; 3002, 'genre_id' =&gt; 8010, 'score' =&gt; 30],</v>
      </c>
      <c r="U14" t="str">
        <f t="shared" si="0"/>
        <v>['question_id' =&gt; 300, 'option_id' =&gt; 3002, 'genre_id' =&gt; 8020, 'score' =&gt; 0],</v>
      </c>
      <c r="V14" t="str">
        <f t="shared" si="1"/>
        <v>['question_id' =&gt; 300, 'option_id' =&gt; 3002, 'genre_id' =&gt; 8030, 'score' =&gt; 0],</v>
      </c>
      <c r="W14" t="str">
        <f t="shared" si="2"/>
        <v>['question_id' =&gt; 300, 'option_id' =&gt; 3002, 'genre_id' =&gt; 8040, 'score' =&gt; 0],</v>
      </c>
      <c r="X14" t="str">
        <f t="shared" si="3"/>
        <v>['question_id' =&gt; 300, 'option_id' =&gt; 3002, 'genre_id' =&gt; 8050, 'score' =&gt; 0],</v>
      </c>
      <c r="Y14" t="str">
        <f t="shared" si="4"/>
        <v>['question_id' =&gt; 300, 'option_id' =&gt; 3002, 'genre_id' =&gt; 8060, 'score' =&gt; 0],</v>
      </c>
      <c r="Z14" t="str">
        <f t="shared" si="5"/>
        <v>['question_id' =&gt; 300, 'option_id' =&gt; 3002, 'genre_id' =&gt; 8070, 'score' =&gt; 0],</v>
      </c>
      <c r="AA14" t="str">
        <f t="shared" si="6"/>
        <v>['question_id' =&gt; 300, 'option_id' =&gt; 3002, 'genre_id' =&gt; 8080, 'score' =&gt; 0],</v>
      </c>
      <c r="AB14" t="str">
        <f t="shared" si="7"/>
        <v>['question_id' =&gt; 300, 'option_id' =&gt; 3002, 'genre_id' =&gt; 8090, 'score' =&gt; 0],</v>
      </c>
      <c r="AC14" t="str">
        <f t="shared" si="8"/>
        <v>['question_id' =&gt; 300, 'option_id' =&gt; 3002, 'genre_id' =&gt; 8100, 'score' =&gt; 0],</v>
      </c>
      <c r="AD14" t="str">
        <f t="shared" si="9"/>
        <v>['question_id' =&gt; 300, 'option_id' =&gt; 3002, 'genre_id' =&gt; 8110, 'score' =&gt; 0],</v>
      </c>
      <c r="AE14" t="str">
        <f t="shared" si="10"/>
        <v>['question_id' =&gt; 300, 'option_id' =&gt; 3002, 'genre_id' =&gt; 8120, 'score' =&gt; 30],</v>
      </c>
      <c r="AF14" t="str">
        <f t="shared" si="11"/>
        <v>['question_id' =&gt; 300, 'option_id' =&gt; 3002, 'genre_id' =&gt; 8130, 'score' =&gt; 30],</v>
      </c>
      <c r="AG14" t="str">
        <f t="shared" si="12"/>
        <v>['question_id' =&gt; 300, 'option_id' =&gt; 3002, 'genre_id' =&gt; 8140, 'score' =&gt; 0],</v>
      </c>
      <c r="AH14" t="str">
        <f t="shared" si="13"/>
        <v>['question_id' =&gt; 300, 'option_id' =&gt; 3002, 'genre_id' =&gt; 8150, 'score' =&gt; 0],</v>
      </c>
    </row>
    <row r="15" spans="1:34">
      <c r="A15" s="22"/>
      <c r="B15" s="6">
        <v>300</v>
      </c>
      <c r="C15" s="3">
        <v>3003</v>
      </c>
      <c r="D15" s="5">
        <v>50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50</v>
      </c>
      <c r="R15" s="5">
        <v>50</v>
      </c>
      <c r="T15" t="str">
        <f t="shared" si="14"/>
        <v>['question_id' =&gt; 300, 'option_id' =&gt; 3003, 'genre_id' =&gt; 8010, 'score' =&gt; 50],</v>
      </c>
      <c r="U15" t="str">
        <f t="shared" si="0"/>
        <v>['question_id' =&gt; 300, 'option_id' =&gt; 3003, 'genre_id' =&gt; 8020, 'score' =&gt; 0],</v>
      </c>
      <c r="V15" t="str">
        <f t="shared" si="1"/>
        <v>['question_id' =&gt; 300, 'option_id' =&gt; 3003, 'genre_id' =&gt; 8030, 'score' =&gt; 0],</v>
      </c>
      <c r="W15" t="str">
        <f t="shared" si="2"/>
        <v>['question_id' =&gt; 300, 'option_id' =&gt; 3003, 'genre_id' =&gt; 8040, 'score' =&gt; 0],</v>
      </c>
      <c r="X15" t="str">
        <f t="shared" si="3"/>
        <v>['question_id' =&gt; 300, 'option_id' =&gt; 3003, 'genre_id' =&gt; 8050, 'score' =&gt; 0],</v>
      </c>
      <c r="Y15" t="str">
        <f t="shared" si="4"/>
        <v>['question_id' =&gt; 300, 'option_id' =&gt; 3003, 'genre_id' =&gt; 8060, 'score' =&gt; 0],</v>
      </c>
      <c r="Z15" t="str">
        <f t="shared" si="5"/>
        <v>['question_id' =&gt; 300, 'option_id' =&gt; 3003, 'genre_id' =&gt; 8070, 'score' =&gt; 50],</v>
      </c>
      <c r="AA15" t="str">
        <f t="shared" si="6"/>
        <v>['question_id' =&gt; 300, 'option_id' =&gt; 3003, 'genre_id' =&gt; 8080, 'score' =&gt; 0],</v>
      </c>
      <c r="AB15" t="str">
        <f t="shared" si="7"/>
        <v>['question_id' =&gt; 300, 'option_id' =&gt; 3003, 'genre_id' =&gt; 8090, 'score' =&gt; 0],</v>
      </c>
      <c r="AC15" t="str">
        <f t="shared" si="8"/>
        <v>['question_id' =&gt; 300, 'option_id' =&gt; 3003, 'genre_id' =&gt; 8100, 'score' =&gt; 0],</v>
      </c>
      <c r="AD15" t="str">
        <f t="shared" si="9"/>
        <v>['question_id' =&gt; 300, 'option_id' =&gt; 3003, 'genre_id' =&gt; 8110, 'score' =&gt; 0],</v>
      </c>
      <c r="AE15" t="str">
        <f t="shared" si="10"/>
        <v>['question_id' =&gt; 300, 'option_id' =&gt; 3003, 'genre_id' =&gt; 8120, 'score' =&gt; 0],</v>
      </c>
      <c r="AF15" t="str">
        <f t="shared" si="11"/>
        <v>['question_id' =&gt; 300, 'option_id' =&gt; 3003, 'genre_id' =&gt; 8130, 'score' =&gt; 0],</v>
      </c>
      <c r="AG15" t="str">
        <f t="shared" si="12"/>
        <v>['question_id' =&gt; 300, 'option_id' =&gt; 3003, 'genre_id' =&gt; 8140, 'score' =&gt; 50],</v>
      </c>
      <c r="AH15" t="str">
        <f t="shared" si="13"/>
        <v>['question_id' =&gt; 300, 'option_id' =&gt; 3003, 'genre_id' =&gt; 8150, 'score' =&gt; 50],</v>
      </c>
    </row>
    <row r="16" spans="1:34">
      <c r="A16" s="22"/>
      <c r="B16" s="6">
        <v>400</v>
      </c>
      <c r="C16" s="3">
        <v>4001</v>
      </c>
      <c r="D16" s="5">
        <v>50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50</v>
      </c>
      <c r="R16" s="5">
        <v>50</v>
      </c>
      <c r="T16" t="str">
        <f t="shared" si="14"/>
        <v>['question_id' =&gt; 400, 'option_id' =&gt; 4001, 'genre_id' =&gt; 8010, 'score' =&gt; 50],</v>
      </c>
      <c r="U16" t="str">
        <f t="shared" si="0"/>
        <v>['question_id' =&gt; 400, 'option_id' =&gt; 4001, 'genre_id' =&gt; 8020, 'score' =&gt; 0],</v>
      </c>
      <c r="V16" t="str">
        <f t="shared" si="1"/>
        <v>['question_id' =&gt; 400, 'option_id' =&gt; 4001, 'genre_id' =&gt; 8030, 'score' =&gt; 0],</v>
      </c>
      <c r="W16" t="str">
        <f t="shared" si="2"/>
        <v>['question_id' =&gt; 400, 'option_id' =&gt; 4001, 'genre_id' =&gt; 8040, 'score' =&gt; 0],</v>
      </c>
      <c r="X16" t="str">
        <f t="shared" si="3"/>
        <v>['question_id' =&gt; 400, 'option_id' =&gt; 4001, 'genre_id' =&gt; 8050, 'score' =&gt; 0],</v>
      </c>
      <c r="Y16" t="str">
        <f t="shared" si="4"/>
        <v>['question_id' =&gt; 400, 'option_id' =&gt; 4001, 'genre_id' =&gt; 8060, 'score' =&gt; 0],</v>
      </c>
      <c r="Z16" t="str">
        <f t="shared" si="5"/>
        <v>['question_id' =&gt; 400, 'option_id' =&gt; 4001, 'genre_id' =&gt; 8070, 'score' =&gt; 0],</v>
      </c>
      <c r="AA16" t="str">
        <f t="shared" si="6"/>
        <v>['question_id' =&gt; 400, 'option_id' =&gt; 4001, 'genre_id' =&gt; 8080, 'score' =&gt; 0],</v>
      </c>
      <c r="AB16" t="str">
        <f t="shared" si="7"/>
        <v>['question_id' =&gt; 400, 'option_id' =&gt; 4001, 'genre_id' =&gt; 8090, 'score' =&gt; 0],</v>
      </c>
      <c r="AC16" t="str">
        <f t="shared" si="8"/>
        <v>['question_id' =&gt; 400, 'option_id' =&gt; 4001, 'genre_id' =&gt; 8100, 'score' =&gt; 0],</v>
      </c>
      <c r="AD16" t="str">
        <f t="shared" si="9"/>
        <v>['question_id' =&gt; 400, 'option_id' =&gt; 4001, 'genre_id' =&gt; 8110, 'score' =&gt; 0],</v>
      </c>
      <c r="AE16" t="str">
        <f t="shared" si="10"/>
        <v>['question_id' =&gt; 400, 'option_id' =&gt; 4001, 'genre_id' =&gt; 8120, 'score' =&gt; 0],</v>
      </c>
      <c r="AF16" t="str">
        <f t="shared" si="11"/>
        <v>['question_id' =&gt; 400, 'option_id' =&gt; 4001, 'genre_id' =&gt; 8130, 'score' =&gt; 0],</v>
      </c>
      <c r="AG16" t="str">
        <f t="shared" si="12"/>
        <v>['question_id' =&gt; 400, 'option_id' =&gt; 4001, 'genre_id' =&gt; 8140, 'score' =&gt; 50],</v>
      </c>
      <c r="AH16" t="str">
        <f t="shared" si="13"/>
        <v>['question_id' =&gt; 400, 'option_id' =&gt; 4001, 'genre_id' =&gt; 8150, 'score' =&gt; 50],</v>
      </c>
    </row>
    <row r="17" spans="1:34">
      <c r="A17" s="22"/>
      <c r="B17" s="6">
        <v>400</v>
      </c>
      <c r="C17" s="3">
        <v>4002</v>
      </c>
      <c r="D17" s="5">
        <v>50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50</v>
      </c>
      <c r="R17" s="5">
        <v>50</v>
      </c>
      <c r="T17" t="str">
        <f t="shared" si="14"/>
        <v>['question_id' =&gt; 400, 'option_id' =&gt; 4002, 'genre_id' =&gt; 8010, 'score' =&gt; 50],</v>
      </c>
      <c r="U17" t="str">
        <f t="shared" si="0"/>
        <v>['question_id' =&gt; 400, 'option_id' =&gt; 4002, 'genre_id' =&gt; 8020, 'score' =&gt; 0],</v>
      </c>
      <c r="V17" t="str">
        <f t="shared" si="1"/>
        <v>['question_id' =&gt; 400, 'option_id' =&gt; 4002, 'genre_id' =&gt; 8030, 'score' =&gt; 0],</v>
      </c>
      <c r="W17" t="str">
        <f t="shared" si="2"/>
        <v>['question_id' =&gt; 400, 'option_id' =&gt; 4002, 'genre_id' =&gt; 8040, 'score' =&gt; 0],</v>
      </c>
      <c r="X17" t="str">
        <f t="shared" si="3"/>
        <v>['question_id' =&gt; 400, 'option_id' =&gt; 4002, 'genre_id' =&gt; 8050, 'score' =&gt; 0],</v>
      </c>
      <c r="Y17" t="str">
        <f t="shared" si="4"/>
        <v>['question_id' =&gt; 400, 'option_id' =&gt; 4002, 'genre_id' =&gt; 8060, 'score' =&gt; 0],</v>
      </c>
      <c r="Z17" t="str">
        <f t="shared" si="5"/>
        <v>['question_id' =&gt; 400, 'option_id' =&gt; 4002, 'genre_id' =&gt; 8070, 'score' =&gt; 0],</v>
      </c>
      <c r="AA17" t="str">
        <f t="shared" si="6"/>
        <v>['question_id' =&gt; 400, 'option_id' =&gt; 4002, 'genre_id' =&gt; 8080, 'score' =&gt; 0],</v>
      </c>
      <c r="AB17" t="str">
        <f t="shared" si="7"/>
        <v>['question_id' =&gt; 400, 'option_id' =&gt; 4002, 'genre_id' =&gt; 8090, 'score' =&gt; 0],</v>
      </c>
      <c r="AC17" t="str">
        <f t="shared" si="8"/>
        <v>['question_id' =&gt; 400, 'option_id' =&gt; 4002, 'genre_id' =&gt; 8100, 'score' =&gt; 0],</v>
      </c>
      <c r="AD17" t="str">
        <f t="shared" si="9"/>
        <v>['question_id' =&gt; 400, 'option_id' =&gt; 4002, 'genre_id' =&gt; 8110, 'score' =&gt; 0],</v>
      </c>
      <c r="AE17" t="str">
        <f t="shared" si="10"/>
        <v>['question_id' =&gt; 400, 'option_id' =&gt; 4002, 'genre_id' =&gt; 8120, 'score' =&gt; 0],</v>
      </c>
      <c r="AF17" t="str">
        <f t="shared" si="11"/>
        <v>['question_id' =&gt; 400, 'option_id' =&gt; 4002, 'genre_id' =&gt; 8130, 'score' =&gt; 0],</v>
      </c>
      <c r="AG17" t="str">
        <f t="shared" si="12"/>
        <v>['question_id' =&gt; 400, 'option_id' =&gt; 4002, 'genre_id' =&gt; 8140, 'score' =&gt; 50],</v>
      </c>
      <c r="AH17" t="str">
        <f t="shared" si="13"/>
        <v>['question_id' =&gt; 400, 'option_id' =&gt; 4002, 'genre_id' =&gt; 8150, 'score' =&gt; 50],</v>
      </c>
    </row>
    <row r="18" spans="1:34">
      <c r="A18" s="22"/>
      <c r="B18" s="6">
        <v>400</v>
      </c>
      <c r="C18" s="3">
        <v>4003</v>
      </c>
      <c r="D18" s="5">
        <v>50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50</v>
      </c>
      <c r="R18" s="5">
        <v>50</v>
      </c>
      <c r="T18" t="str">
        <f t="shared" si="14"/>
        <v>['question_id' =&gt; 400, 'option_id' =&gt; 4003, 'genre_id' =&gt; 8010, 'score' =&gt; 50],</v>
      </c>
      <c r="U18" t="str">
        <f t="shared" si="0"/>
        <v>['question_id' =&gt; 400, 'option_id' =&gt; 4003, 'genre_id' =&gt; 8020, 'score' =&gt; 0],</v>
      </c>
      <c r="V18" t="str">
        <f t="shared" si="1"/>
        <v>['question_id' =&gt; 400, 'option_id' =&gt; 4003, 'genre_id' =&gt; 8030, 'score' =&gt; 0],</v>
      </c>
      <c r="W18" t="str">
        <f t="shared" si="2"/>
        <v>['question_id' =&gt; 400, 'option_id' =&gt; 4003, 'genre_id' =&gt; 8040, 'score' =&gt; 0],</v>
      </c>
      <c r="X18" t="str">
        <f t="shared" si="3"/>
        <v>['question_id' =&gt; 400, 'option_id' =&gt; 4003, 'genre_id' =&gt; 8050, 'score' =&gt; 0],</v>
      </c>
      <c r="Y18" t="str">
        <f t="shared" si="4"/>
        <v>['question_id' =&gt; 400, 'option_id' =&gt; 4003, 'genre_id' =&gt; 8060, 'score' =&gt; 0],</v>
      </c>
      <c r="Z18" t="str">
        <f t="shared" si="5"/>
        <v>['question_id' =&gt; 400, 'option_id' =&gt; 4003, 'genre_id' =&gt; 8070, 'score' =&gt; 0],</v>
      </c>
      <c r="AA18" t="str">
        <f t="shared" si="6"/>
        <v>['question_id' =&gt; 400, 'option_id' =&gt; 4003, 'genre_id' =&gt; 8080, 'score' =&gt; 0],</v>
      </c>
      <c r="AB18" t="str">
        <f t="shared" si="7"/>
        <v>['question_id' =&gt; 400, 'option_id' =&gt; 4003, 'genre_id' =&gt; 8090, 'score' =&gt; 0],</v>
      </c>
      <c r="AC18" t="str">
        <f t="shared" si="8"/>
        <v>['question_id' =&gt; 400, 'option_id' =&gt; 4003, 'genre_id' =&gt; 8100, 'score' =&gt; 0],</v>
      </c>
      <c r="AD18" t="str">
        <f t="shared" si="9"/>
        <v>['question_id' =&gt; 400, 'option_id' =&gt; 4003, 'genre_id' =&gt; 8110, 'score' =&gt; 0],</v>
      </c>
      <c r="AE18" t="str">
        <f t="shared" si="10"/>
        <v>['question_id' =&gt; 400, 'option_id' =&gt; 4003, 'genre_id' =&gt; 8120, 'score' =&gt; 0],</v>
      </c>
      <c r="AF18" t="str">
        <f t="shared" si="11"/>
        <v>['question_id' =&gt; 400, 'option_id' =&gt; 4003, 'genre_id' =&gt; 8130, 'score' =&gt; 0],</v>
      </c>
      <c r="AG18" t="str">
        <f t="shared" si="12"/>
        <v>['question_id' =&gt; 400, 'option_id' =&gt; 4003, 'genre_id' =&gt; 8140, 'score' =&gt; 50],</v>
      </c>
      <c r="AH18" t="str">
        <f t="shared" si="13"/>
        <v>['question_id' =&gt; 400, 'option_id' =&gt; 4003, 'genre_id' =&gt; 8150, 'score' =&gt; 50],</v>
      </c>
    </row>
    <row r="19" spans="1:34">
      <c r="A19" s="22"/>
      <c r="B19" s="6">
        <v>400</v>
      </c>
      <c r="C19" s="3">
        <v>4004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t="str">
        <f t="shared" si="14"/>
        <v>['question_id' =&gt; 400, 'option_id' =&gt; 4004, 'genre_id' =&gt; 8010, 'score' =&gt; 0],</v>
      </c>
      <c r="U19" t="str">
        <f t="shared" si="0"/>
        <v>['question_id' =&gt; 400, 'option_id' =&gt; 4004, 'genre_id' =&gt; 8020, 'score' =&gt; 0],</v>
      </c>
      <c r="V19" t="str">
        <f t="shared" si="1"/>
        <v>['question_id' =&gt; 400, 'option_id' =&gt; 4004, 'genre_id' =&gt; 8030, 'score' =&gt; 0],</v>
      </c>
      <c r="W19" t="str">
        <f t="shared" si="2"/>
        <v>['question_id' =&gt; 400, 'option_id' =&gt; 4004, 'genre_id' =&gt; 8040, 'score' =&gt; 0],</v>
      </c>
      <c r="X19" t="str">
        <f t="shared" si="3"/>
        <v>['question_id' =&gt; 400, 'option_id' =&gt; 4004, 'genre_id' =&gt; 8050, 'score' =&gt; 0],</v>
      </c>
      <c r="Y19" t="str">
        <f t="shared" si="4"/>
        <v>['question_id' =&gt; 400, 'option_id' =&gt; 4004, 'genre_id' =&gt; 8060, 'score' =&gt; 0],</v>
      </c>
      <c r="Z19" t="str">
        <f t="shared" si="5"/>
        <v>['question_id' =&gt; 400, 'option_id' =&gt; 4004, 'genre_id' =&gt; 8070, 'score' =&gt; 0],</v>
      </c>
      <c r="AA19" t="str">
        <f t="shared" si="6"/>
        <v>['question_id' =&gt; 400, 'option_id' =&gt; 4004, 'genre_id' =&gt; 8080, 'score' =&gt; 0],</v>
      </c>
      <c r="AB19" t="str">
        <f t="shared" si="7"/>
        <v>['question_id' =&gt; 400, 'option_id' =&gt; 4004, 'genre_id' =&gt; 8090, 'score' =&gt; 0],</v>
      </c>
      <c r="AC19" t="str">
        <f t="shared" si="8"/>
        <v>['question_id' =&gt; 400, 'option_id' =&gt; 4004, 'genre_id' =&gt; 8100, 'score' =&gt; 0],</v>
      </c>
      <c r="AD19" t="str">
        <f t="shared" si="9"/>
        <v>['question_id' =&gt; 400, 'option_id' =&gt; 4004, 'genre_id' =&gt; 8110, 'score' =&gt; 0],</v>
      </c>
      <c r="AE19" t="str">
        <f t="shared" si="10"/>
        <v>['question_id' =&gt; 400, 'option_id' =&gt; 4004, 'genre_id' =&gt; 8120, 'score' =&gt; 0],</v>
      </c>
      <c r="AF19" t="str">
        <f t="shared" si="11"/>
        <v>['question_id' =&gt; 400, 'option_id' =&gt; 4004, 'genre_id' =&gt; 8130, 'score' =&gt; 0],</v>
      </c>
      <c r="AG19" t="str">
        <f t="shared" si="12"/>
        <v>['question_id' =&gt; 400, 'option_id' =&gt; 4004, 'genre_id' =&gt; 8140, 'score' =&gt; 0],</v>
      </c>
      <c r="AH19" t="str">
        <f t="shared" si="13"/>
        <v>['question_id' =&gt; 400, 'option_id' =&gt; 4004, 'genre_id' =&gt; 8150, 'score' =&gt; 0],</v>
      </c>
    </row>
    <row r="20" spans="1:34">
      <c r="A20" s="22"/>
      <c r="B20" s="6">
        <v>400</v>
      </c>
      <c r="C20" s="3">
        <v>4005</v>
      </c>
      <c r="D20" s="5">
        <v>0</v>
      </c>
      <c r="E20" s="5">
        <v>40</v>
      </c>
      <c r="F20" s="5">
        <v>40</v>
      </c>
      <c r="G20" s="5">
        <v>40</v>
      </c>
      <c r="H20" s="5">
        <v>0</v>
      </c>
      <c r="I20" s="5">
        <v>40</v>
      </c>
      <c r="J20" s="5">
        <v>0</v>
      </c>
      <c r="K20" s="5">
        <v>0</v>
      </c>
      <c r="L20" s="5">
        <v>0</v>
      </c>
      <c r="M20" s="5">
        <v>0</v>
      </c>
      <c r="N20" s="5">
        <v>40</v>
      </c>
      <c r="O20" s="5">
        <v>0</v>
      </c>
      <c r="P20" s="5">
        <v>0</v>
      </c>
      <c r="Q20" s="5">
        <v>0</v>
      </c>
      <c r="R20" s="5">
        <v>0</v>
      </c>
      <c r="T20" t="str">
        <f t="shared" si="14"/>
        <v>['question_id' =&gt; 400, 'option_id' =&gt; 4005, 'genre_id' =&gt; 8010, 'score' =&gt; 0],</v>
      </c>
      <c r="U20" t="str">
        <f t="shared" si="0"/>
        <v>['question_id' =&gt; 400, 'option_id' =&gt; 4005, 'genre_id' =&gt; 8020, 'score' =&gt; 40],</v>
      </c>
      <c r="V20" t="str">
        <f t="shared" si="1"/>
        <v>['question_id' =&gt; 400, 'option_id' =&gt; 4005, 'genre_id' =&gt; 8030, 'score' =&gt; 40],</v>
      </c>
      <c r="W20" t="str">
        <f t="shared" si="2"/>
        <v>['question_id' =&gt; 400, 'option_id' =&gt; 4005, 'genre_id' =&gt; 8040, 'score' =&gt; 40],</v>
      </c>
      <c r="X20" t="str">
        <f t="shared" si="3"/>
        <v>['question_id' =&gt; 400, 'option_id' =&gt; 4005, 'genre_id' =&gt; 8050, 'score' =&gt; 0],</v>
      </c>
      <c r="Y20" t="str">
        <f t="shared" si="4"/>
        <v>['question_id' =&gt; 400, 'option_id' =&gt; 4005, 'genre_id' =&gt; 8060, 'score' =&gt; 40],</v>
      </c>
      <c r="Z20" t="str">
        <f t="shared" si="5"/>
        <v>['question_id' =&gt; 400, 'option_id' =&gt; 4005, 'genre_id' =&gt; 8070, 'score' =&gt; 0],</v>
      </c>
      <c r="AA20" t="str">
        <f t="shared" si="6"/>
        <v>['question_id' =&gt; 400, 'option_id' =&gt; 4005, 'genre_id' =&gt; 8080, 'score' =&gt; 0],</v>
      </c>
      <c r="AB20" t="str">
        <f t="shared" si="7"/>
        <v>['question_id' =&gt; 400, 'option_id' =&gt; 4005, 'genre_id' =&gt; 8090, 'score' =&gt; 0],</v>
      </c>
      <c r="AC20" t="str">
        <f t="shared" si="8"/>
        <v>['question_id' =&gt; 400, 'option_id' =&gt; 4005, 'genre_id' =&gt; 8100, 'score' =&gt; 0],</v>
      </c>
      <c r="AD20" t="str">
        <f t="shared" si="9"/>
        <v>['question_id' =&gt; 400, 'option_id' =&gt; 4005, 'genre_id' =&gt; 8110, 'score' =&gt; 40],</v>
      </c>
      <c r="AE20" t="str">
        <f t="shared" si="10"/>
        <v>['question_id' =&gt; 400, 'option_id' =&gt; 4005, 'genre_id' =&gt; 8120, 'score' =&gt; 0],</v>
      </c>
      <c r="AF20" t="str">
        <f t="shared" si="11"/>
        <v>['question_id' =&gt; 400, 'option_id' =&gt; 4005, 'genre_id' =&gt; 8130, 'score' =&gt; 0],</v>
      </c>
      <c r="AG20" t="str">
        <f t="shared" si="12"/>
        <v>['question_id' =&gt; 400, 'option_id' =&gt; 4005, 'genre_id' =&gt; 8140, 'score' =&gt; 0],</v>
      </c>
      <c r="AH20" t="str">
        <f t="shared" si="13"/>
        <v>['question_id' =&gt; 400, 'option_id' =&gt; 4005, 'genre_id' =&gt; 8150, 'score' =&gt; 0],</v>
      </c>
    </row>
    <row r="21" spans="1:34">
      <c r="A21" s="22"/>
      <c r="B21" s="6">
        <v>500</v>
      </c>
      <c r="C21" s="3">
        <v>5001</v>
      </c>
      <c r="D21" s="5">
        <v>50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50</v>
      </c>
      <c r="R21" s="5">
        <v>50</v>
      </c>
      <c r="T21" t="str">
        <f t="shared" si="14"/>
        <v>['question_id' =&gt; 500, 'option_id' =&gt; 5001, 'genre_id' =&gt; 8010, 'score' =&gt; 50],</v>
      </c>
      <c r="U21" t="str">
        <f t="shared" si="0"/>
        <v>['question_id' =&gt; 500, 'option_id' =&gt; 5001, 'genre_id' =&gt; 8020, 'score' =&gt; 0],</v>
      </c>
      <c r="V21" t="str">
        <f t="shared" si="1"/>
        <v>['question_id' =&gt; 500, 'option_id' =&gt; 5001, 'genre_id' =&gt; 8030, 'score' =&gt; 0],</v>
      </c>
      <c r="W21" t="str">
        <f t="shared" si="2"/>
        <v>['question_id' =&gt; 500, 'option_id' =&gt; 5001, 'genre_id' =&gt; 8040, 'score' =&gt; 0],</v>
      </c>
      <c r="X21" t="str">
        <f t="shared" si="3"/>
        <v>['question_id' =&gt; 500, 'option_id' =&gt; 5001, 'genre_id' =&gt; 8050, 'score' =&gt; 0],</v>
      </c>
      <c r="Y21" t="str">
        <f t="shared" si="4"/>
        <v>['question_id' =&gt; 500, 'option_id' =&gt; 5001, 'genre_id' =&gt; 8060, 'score' =&gt; 0],</v>
      </c>
      <c r="Z21" t="str">
        <f t="shared" si="5"/>
        <v>['question_id' =&gt; 500, 'option_id' =&gt; 5001, 'genre_id' =&gt; 8070, 'score' =&gt; 0],</v>
      </c>
      <c r="AA21" t="str">
        <f t="shared" si="6"/>
        <v>['question_id' =&gt; 500, 'option_id' =&gt; 5001, 'genre_id' =&gt; 8080, 'score' =&gt; 0],</v>
      </c>
      <c r="AB21" t="str">
        <f t="shared" si="7"/>
        <v>['question_id' =&gt; 500, 'option_id' =&gt; 5001, 'genre_id' =&gt; 8090, 'score' =&gt; 0],</v>
      </c>
      <c r="AC21" t="str">
        <f t="shared" si="8"/>
        <v>['question_id' =&gt; 500, 'option_id' =&gt; 5001, 'genre_id' =&gt; 8100, 'score' =&gt; 0],</v>
      </c>
      <c r="AD21" t="str">
        <f t="shared" si="9"/>
        <v>['question_id' =&gt; 500, 'option_id' =&gt; 5001, 'genre_id' =&gt; 8110, 'score' =&gt; 0],</v>
      </c>
      <c r="AE21" t="str">
        <f t="shared" si="10"/>
        <v>['question_id' =&gt; 500, 'option_id' =&gt; 5001, 'genre_id' =&gt; 8120, 'score' =&gt; 0],</v>
      </c>
      <c r="AF21" t="str">
        <f t="shared" si="11"/>
        <v>['question_id' =&gt; 500, 'option_id' =&gt; 5001, 'genre_id' =&gt; 8130, 'score' =&gt; 0],</v>
      </c>
      <c r="AG21" t="str">
        <f t="shared" si="12"/>
        <v>['question_id' =&gt; 500, 'option_id' =&gt; 5001, 'genre_id' =&gt; 8140, 'score' =&gt; 50],</v>
      </c>
      <c r="AH21" t="str">
        <f t="shared" si="13"/>
        <v>['question_id' =&gt; 500, 'option_id' =&gt; 5001, 'genre_id' =&gt; 8150, 'score' =&gt; 50],</v>
      </c>
    </row>
    <row r="22" spans="1:34">
      <c r="A22" s="22"/>
      <c r="B22" s="6">
        <v>500</v>
      </c>
      <c r="C22" s="3">
        <v>5002</v>
      </c>
      <c r="D22" s="5">
        <v>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40</v>
      </c>
      <c r="M22" s="5">
        <v>40</v>
      </c>
      <c r="N22" s="5">
        <v>0</v>
      </c>
      <c r="O22" s="5">
        <v>40</v>
      </c>
      <c r="P22" s="5">
        <v>40</v>
      </c>
      <c r="Q22" s="5">
        <v>0</v>
      </c>
      <c r="R22" s="5">
        <v>0</v>
      </c>
      <c r="T22" t="str">
        <f t="shared" si="14"/>
        <v>['question_id' =&gt; 500, 'option_id' =&gt; 5002, 'genre_id' =&gt; 8010, 'score' =&gt; 40],</v>
      </c>
      <c r="U22" t="str">
        <f t="shared" si="0"/>
        <v>['question_id' =&gt; 500, 'option_id' =&gt; 5002, 'genre_id' =&gt; 8020, 'score' =&gt; 0],</v>
      </c>
      <c r="V22" t="str">
        <f t="shared" si="1"/>
        <v>['question_id' =&gt; 500, 'option_id' =&gt; 5002, 'genre_id' =&gt; 8030, 'score' =&gt; 0],</v>
      </c>
      <c r="W22" t="str">
        <f t="shared" si="2"/>
        <v>['question_id' =&gt; 500, 'option_id' =&gt; 5002, 'genre_id' =&gt; 8040, 'score' =&gt; 0],</v>
      </c>
      <c r="X22" t="str">
        <f t="shared" si="3"/>
        <v>['question_id' =&gt; 500, 'option_id' =&gt; 5002, 'genre_id' =&gt; 8050, 'score' =&gt; 0],</v>
      </c>
      <c r="Y22" t="str">
        <f t="shared" si="4"/>
        <v>['question_id' =&gt; 500, 'option_id' =&gt; 5002, 'genre_id' =&gt; 8060, 'score' =&gt; 0],</v>
      </c>
      <c r="Z22" t="str">
        <f t="shared" si="5"/>
        <v>['question_id' =&gt; 500, 'option_id' =&gt; 5002, 'genre_id' =&gt; 8070, 'score' =&gt; 0],</v>
      </c>
      <c r="AA22" t="str">
        <f t="shared" si="6"/>
        <v>['question_id' =&gt; 500, 'option_id' =&gt; 5002, 'genre_id' =&gt; 8080, 'score' =&gt; 0],</v>
      </c>
      <c r="AB22" t="str">
        <f t="shared" si="7"/>
        <v>['question_id' =&gt; 500, 'option_id' =&gt; 5002, 'genre_id' =&gt; 8090, 'score' =&gt; 40],</v>
      </c>
      <c r="AC22" t="str">
        <f t="shared" si="8"/>
        <v>['question_id' =&gt; 500, 'option_id' =&gt; 5002, 'genre_id' =&gt; 8100, 'score' =&gt; 40],</v>
      </c>
      <c r="AD22" t="str">
        <f t="shared" si="9"/>
        <v>['question_id' =&gt; 500, 'option_id' =&gt; 5002, 'genre_id' =&gt; 8110, 'score' =&gt; 0],</v>
      </c>
      <c r="AE22" t="str">
        <f t="shared" si="10"/>
        <v>['question_id' =&gt; 500, 'option_id' =&gt; 5002, 'genre_id' =&gt; 8120, 'score' =&gt; 40],</v>
      </c>
      <c r="AF22" t="str">
        <f t="shared" si="11"/>
        <v>['question_id' =&gt; 500, 'option_id' =&gt; 5002, 'genre_id' =&gt; 8130, 'score' =&gt; 40],</v>
      </c>
      <c r="AG22" t="str">
        <f t="shared" si="12"/>
        <v>['question_id' =&gt; 500, 'option_id' =&gt; 5002, 'genre_id' =&gt; 8140, 'score' =&gt; 0],</v>
      </c>
      <c r="AH22" t="str">
        <f t="shared" si="13"/>
        <v>['question_id' =&gt; 500, 'option_id' =&gt; 5002, 'genre_id' =&gt; 8150, 'score' =&gt; 0],</v>
      </c>
    </row>
    <row r="23" spans="1:34">
      <c r="A23" s="22"/>
      <c r="B23" s="6">
        <v>500</v>
      </c>
      <c r="C23" s="3">
        <v>5003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50</v>
      </c>
      <c r="K23" s="5">
        <v>50</v>
      </c>
      <c r="L23" s="5">
        <v>0</v>
      </c>
      <c r="M23" s="5">
        <v>0</v>
      </c>
      <c r="N23" s="5">
        <v>50</v>
      </c>
      <c r="O23" s="5">
        <v>0</v>
      </c>
      <c r="P23" s="5">
        <v>0</v>
      </c>
      <c r="Q23" s="5">
        <v>0</v>
      </c>
      <c r="R23" s="5">
        <v>0</v>
      </c>
      <c r="T23" t="str">
        <f t="shared" si="14"/>
        <v>['question_id' =&gt; 500, 'option_id' =&gt; 5003, 'genre_id' =&gt; 8010, 'score' =&gt; 0],</v>
      </c>
      <c r="U23" t="str">
        <f t="shared" si="0"/>
        <v>['question_id' =&gt; 500, 'option_id' =&gt; 5003, 'genre_id' =&gt; 8020, 'score' =&gt; 0],</v>
      </c>
      <c r="V23" t="str">
        <f t="shared" si="1"/>
        <v>['question_id' =&gt; 500, 'option_id' =&gt; 5003, 'genre_id' =&gt; 8030, 'score' =&gt; 0],</v>
      </c>
      <c r="W23" t="str">
        <f t="shared" si="2"/>
        <v>['question_id' =&gt; 500, 'option_id' =&gt; 5003, 'genre_id' =&gt; 8040, 'score' =&gt; 0],</v>
      </c>
      <c r="X23" t="str">
        <f t="shared" si="3"/>
        <v>['question_id' =&gt; 500, 'option_id' =&gt; 5003, 'genre_id' =&gt; 8050, 'score' =&gt; 0],</v>
      </c>
      <c r="Y23" t="str">
        <f t="shared" si="4"/>
        <v>['question_id' =&gt; 500, 'option_id' =&gt; 5003, 'genre_id' =&gt; 8060, 'score' =&gt; 0],</v>
      </c>
      <c r="Z23" t="str">
        <f t="shared" si="5"/>
        <v>['question_id' =&gt; 500, 'option_id' =&gt; 5003, 'genre_id' =&gt; 8070, 'score' =&gt; 50],</v>
      </c>
      <c r="AA23" t="str">
        <f t="shared" si="6"/>
        <v>['question_id' =&gt; 500, 'option_id' =&gt; 5003, 'genre_id' =&gt; 8080, 'score' =&gt; 50],</v>
      </c>
      <c r="AB23" t="str">
        <f t="shared" si="7"/>
        <v>['question_id' =&gt; 500, 'option_id' =&gt; 5003, 'genre_id' =&gt; 8090, 'score' =&gt; 0],</v>
      </c>
      <c r="AC23" t="str">
        <f t="shared" si="8"/>
        <v>['question_id' =&gt; 500, 'option_id' =&gt; 5003, 'genre_id' =&gt; 8100, 'score' =&gt; 0],</v>
      </c>
      <c r="AD23" t="str">
        <f t="shared" si="9"/>
        <v>['question_id' =&gt; 500, 'option_id' =&gt; 5003, 'genre_id' =&gt; 8110, 'score' =&gt; 50],</v>
      </c>
      <c r="AE23" t="str">
        <f t="shared" si="10"/>
        <v>['question_id' =&gt; 500, 'option_id' =&gt; 5003, 'genre_id' =&gt; 8120, 'score' =&gt; 0],</v>
      </c>
      <c r="AF23" t="str">
        <f t="shared" si="11"/>
        <v>['question_id' =&gt; 500, 'option_id' =&gt; 5003, 'genre_id' =&gt; 8130, 'score' =&gt; 0],</v>
      </c>
      <c r="AG23" t="str">
        <f t="shared" si="12"/>
        <v>['question_id' =&gt; 500, 'option_id' =&gt; 5003, 'genre_id' =&gt; 8140, 'score' =&gt; 0],</v>
      </c>
      <c r="AH23" t="str">
        <f t="shared" si="13"/>
        <v>['question_id' =&gt; 500, 'option_id' =&gt; 5003, 'genre_id' =&gt; 8150, 'score' =&gt; 0],</v>
      </c>
    </row>
    <row r="24" spans="1:34">
      <c r="A24" s="22"/>
      <c r="B24" s="6">
        <v>500</v>
      </c>
      <c r="C24" s="3">
        <v>5004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50</v>
      </c>
      <c r="K24" s="5">
        <v>50</v>
      </c>
      <c r="L24" s="5">
        <v>0</v>
      </c>
      <c r="M24" s="5">
        <v>0</v>
      </c>
      <c r="N24" s="5">
        <v>50</v>
      </c>
      <c r="O24" s="5">
        <v>0</v>
      </c>
      <c r="P24" s="5">
        <v>0</v>
      </c>
      <c r="Q24" s="5">
        <v>0</v>
      </c>
      <c r="R24" s="5">
        <v>0</v>
      </c>
      <c r="T24" t="str">
        <f t="shared" si="14"/>
        <v>['question_id' =&gt; 500, 'option_id' =&gt; 5004, 'genre_id' =&gt; 8010, 'score' =&gt; 0],</v>
      </c>
      <c r="U24" t="str">
        <f t="shared" si="0"/>
        <v>['question_id' =&gt; 500, 'option_id' =&gt; 5004, 'genre_id' =&gt; 8020, 'score' =&gt; 0],</v>
      </c>
      <c r="V24" t="str">
        <f t="shared" si="1"/>
        <v>['question_id' =&gt; 500, 'option_id' =&gt; 5004, 'genre_id' =&gt; 8030, 'score' =&gt; 0],</v>
      </c>
      <c r="W24" t="str">
        <f t="shared" si="2"/>
        <v>['question_id' =&gt; 500, 'option_id' =&gt; 5004, 'genre_id' =&gt; 8040, 'score' =&gt; 0],</v>
      </c>
      <c r="X24" t="str">
        <f t="shared" si="3"/>
        <v>['question_id' =&gt; 500, 'option_id' =&gt; 5004, 'genre_id' =&gt; 8050, 'score' =&gt; 0],</v>
      </c>
      <c r="Y24" t="str">
        <f t="shared" si="4"/>
        <v>['question_id' =&gt; 500, 'option_id' =&gt; 5004, 'genre_id' =&gt; 8060, 'score' =&gt; 0],</v>
      </c>
      <c r="Z24" t="str">
        <f t="shared" si="5"/>
        <v>['question_id' =&gt; 500, 'option_id' =&gt; 5004, 'genre_id' =&gt; 8070, 'score' =&gt; 50],</v>
      </c>
      <c r="AA24" t="str">
        <f t="shared" si="6"/>
        <v>['question_id' =&gt; 500, 'option_id' =&gt; 5004, 'genre_id' =&gt; 8080, 'score' =&gt; 50],</v>
      </c>
      <c r="AB24" t="str">
        <f t="shared" si="7"/>
        <v>['question_id' =&gt; 500, 'option_id' =&gt; 5004, 'genre_id' =&gt; 8090, 'score' =&gt; 0],</v>
      </c>
      <c r="AC24" t="str">
        <f t="shared" si="8"/>
        <v>['question_id' =&gt; 500, 'option_id' =&gt; 5004, 'genre_id' =&gt; 8100, 'score' =&gt; 0],</v>
      </c>
      <c r="AD24" t="str">
        <f t="shared" si="9"/>
        <v>['question_id' =&gt; 500, 'option_id' =&gt; 5004, 'genre_id' =&gt; 8110, 'score' =&gt; 50],</v>
      </c>
      <c r="AE24" t="str">
        <f t="shared" si="10"/>
        <v>['question_id' =&gt; 500, 'option_id' =&gt; 5004, 'genre_id' =&gt; 8120, 'score' =&gt; 0],</v>
      </c>
      <c r="AF24" t="str">
        <f t="shared" si="11"/>
        <v>['question_id' =&gt; 500, 'option_id' =&gt; 5004, 'genre_id' =&gt; 8130, 'score' =&gt; 0],</v>
      </c>
      <c r="AG24" t="str">
        <f t="shared" si="12"/>
        <v>['question_id' =&gt; 500, 'option_id' =&gt; 5004, 'genre_id' =&gt; 8140, 'score' =&gt; 0],</v>
      </c>
      <c r="AH24" t="str">
        <f t="shared" si="13"/>
        <v>['question_id' =&gt; 500, 'option_id' =&gt; 5004, 'genre_id' =&gt; 8150, 'score' =&gt; 0],</v>
      </c>
    </row>
    <row r="25" spans="1:34">
      <c r="A25" s="22"/>
      <c r="B25" s="6">
        <v>500</v>
      </c>
      <c r="C25" s="3">
        <v>5005</v>
      </c>
      <c r="D25" s="5">
        <v>0</v>
      </c>
      <c r="E25" s="5">
        <v>0</v>
      </c>
      <c r="F25" s="5">
        <v>0</v>
      </c>
      <c r="G25" s="5">
        <v>50</v>
      </c>
      <c r="H25" s="5">
        <v>50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50</v>
      </c>
      <c r="O25" s="5">
        <v>0</v>
      </c>
      <c r="P25" s="5">
        <v>0</v>
      </c>
      <c r="Q25" s="5">
        <v>0</v>
      </c>
      <c r="R25" s="5">
        <v>0</v>
      </c>
      <c r="T25" t="str">
        <f t="shared" si="14"/>
        <v>['question_id' =&gt; 500, 'option_id' =&gt; 5005, 'genre_id' =&gt; 8010, 'score' =&gt; 0],</v>
      </c>
      <c r="U25" t="str">
        <f t="shared" si="0"/>
        <v>['question_id' =&gt; 500, 'option_id' =&gt; 5005, 'genre_id' =&gt; 8020, 'score' =&gt; 0],</v>
      </c>
      <c r="V25" t="str">
        <f t="shared" si="1"/>
        <v>['question_id' =&gt; 500, 'option_id' =&gt; 5005, 'genre_id' =&gt; 8030, 'score' =&gt; 0],</v>
      </c>
      <c r="W25" t="str">
        <f t="shared" si="2"/>
        <v>['question_id' =&gt; 500, 'option_id' =&gt; 5005, 'genre_id' =&gt; 8040, 'score' =&gt; 50],</v>
      </c>
      <c r="X25" t="str">
        <f t="shared" si="3"/>
        <v>['question_id' =&gt; 500, 'option_id' =&gt; 5005, 'genre_id' =&gt; 8050, 'score' =&gt; 50],</v>
      </c>
      <c r="Y25" t="str">
        <f t="shared" si="4"/>
        <v>['question_id' =&gt; 500, 'option_id' =&gt; 5005, 'genre_id' =&gt; 8060, 'score' =&gt; 0],</v>
      </c>
      <c r="Z25" t="str">
        <f t="shared" si="5"/>
        <v>['question_id' =&gt; 500, 'option_id' =&gt; 5005, 'genre_id' =&gt; 8070, 'score' =&gt; 0],</v>
      </c>
      <c r="AA25" t="str">
        <f t="shared" si="6"/>
        <v>['question_id' =&gt; 500, 'option_id' =&gt; 5005, 'genre_id' =&gt; 8080, 'score' =&gt; 0],</v>
      </c>
      <c r="AB25" t="str">
        <f t="shared" si="7"/>
        <v>['question_id' =&gt; 500, 'option_id' =&gt; 5005, 'genre_id' =&gt; 8090, 'score' =&gt; 0],</v>
      </c>
      <c r="AC25" t="str">
        <f t="shared" si="8"/>
        <v>['question_id' =&gt; 500, 'option_id' =&gt; 5005, 'genre_id' =&gt; 8100, 'score' =&gt; 0],</v>
      </c>
      <c r="AD25" t="str">
        <f t="shared" si="9"/>
        <v>['question_id' =&gt; 500, 'option_id' =&gt; 5005, 'genre_id' =&gt; 8110, 'score' =&gt; 50],</v>
      </c>
      <c r="AE25" t="str">
        <f t="shared" si="10"/>
        <v>['question_id' =&gt; 500, 'option_id' =&gt; 5005, 'genre_id' =&gt; 8120, 'score' =&gt; 0],</v>
      </c>
      <c r="AF25" t="str">
        <f t="shared" si="11"/>
        <v>['question_id' =&gt; 500, 'option_id' =&gt; 5005, 'genre_id' =&gt; 8130, 'score' =&gt; 0],</v>
      </c>
      <c r="AG25" t="str">
        <f t="shared" si="12"/>
        <v>['question_id' =&gt; 500, 'option_id' =&gt; 5005, 'genre_id' =&gt; 8140, 'score' =&gt; 0],</v>
      </c>
      <c r="AH25" t="str">
        <f t="shared" si="13"/>
        <v>['question_id' =&gt; 500, 'option_id' =&gt; 5005, 'genre_id' =&gt; 8150, 'score' =&gt; 0],</v>
      </c>
    </row>
    <row r="26" spans="1:34">
      <c r="A26" s="22"/>
      <c r="B26" s="6">
        <v>500</v>
      </c>
      <c r="C26" s="3">
        <v>5006</v>
      </c>
      <c r="D26" s="5">
        <v>0</v>
      </c>
      <c r="E26" s="5">
        <v>50</v>
      </c>
      <c r="F26" s="5">
        <v>50</v>
      </c>
      <c r="G26" s="5">
        <v>0</v>
      </c>
      <c r="H26" s="5">
        <v>50</v>
      </c>
      <c r="I26" s="5">
        <v>50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t="str">
        <f t="shared" si="14"/>
        <v>['question_id' =&gt; 500, 'option_id' =&gt; 5006, 'genre_id' =&gt; 8010, 'score' =&gt; 0],</v>
      </c>
      <c r="U26" t="str">
        <f t="shared" si="0"/>
        <v>['question_id' =&gt; 500, 'option_id' =&gt; 5006, 'genre_id' =&gt; 8020, 'score' =&gt; 50],</v>
      </c>
      <c r="V26" t="str">
        <f t="shared" si="1"/>
        <v>['question_id' =&gt; 500, 'option_id' =&gt; 5006, 'genre_id' =&gt; 8030, 'score' =&gt; 50],</v>
      </c>
      <c r="W26" t="str">
        <f t="shared" si="2"/>
        <v>['question_id' =&gt; 500, 'option_id' =&gt; 5006, 'genre_id' =&gt; 8040, 'score' =&gt; 0],</v>
      </c>
      <c r="X26" t="str">
        <f t="shared" si="3"/>
        <v>['question_id' =&gt; 500, 'option_id' =&gt; 5006, 'genre_id' =&gt; 8050, 'score' =&gt; 50],</v>
      </c>
      <c r="Y26" t="str">
        <f t="shared" si="4"/>
        <v>['question_id' =&gt; 500, 'option_id' =&gt; 5006, 'genre_id' =&gt; 8060, 'score' =&gt; 50],</v>
      </c>
      <c r="Z26" t="str">
        <f t="shared" si="5"/>
        <v>['question_id' =&gt; 500, 'option_id' =&gt; 5006, 'genre_id' =&gt; 8070, 'score' =&gt; 0],</v>
      </c>
      <c r="AA26" t="str">
        <f t="shared" si="6"/>
        <v>['question_id' =&gt; 500, 'option_id' =&gt; 5006, 'genre_id' =&gt; 8080, 'score' =&gt; 0],</v>
      </c>
      <c r="AB26" t="str">
        <f t="shared" si="7"/>
        <v>['question_id' =&gt; 500, 'option_id' =&gt; 5006, 'genre_id' =&gt; 8090, 'score' =&gt; 0],</v>
      </c>
      <c r="AC26" t="str">
        <f t="shared" si="8"/>
        <v>['question_id' =&gt; 500, 'option_id' =&gt; 5006, 'genre_id' =&gt; 8100, 'score' =&gt; 0],</v>
      </c>
      <c r="AD26" t="str">
        <f t="shared" si="9"/>
        <v>['question_id' =&gt; 500, 'option_id' =&gt; 5006, 'genre_id' =&gt; 8110, 'score' =&gt; 0],</v>
      </c>
      <c r="AE26" t="str">
        <f t="shared" si="10"/>
        <v>['question_id' =&gt; 500, 'option_id' =&gt; 5006, 'genre_id' =&gt; 8120, 'score' =&gt; 0],</v>
      </c>
      <c r="AF26" t="str">
        <f t="shared" si="11"/>
        <v>['question_id' =&gt; 500, 'option_id' =&gt; 5006, 'genre_id' =&gt; 8130, 'score' =&gt; 0],</v>
      </c>
      <c r="AG26" t="str">
        <f t="shared" si="12"/>
        <v>['question_id' =&gt; 500, 'option_id' =&gt; 5006, 'genre_id' =&gt; 8140, 'score' =&gt; 0],</v>
      </c>
      <c r="AH26" t="str">
        <f t="shared" si="13"/>
        <v>['question_id' =&gt; 500, 'option_id' =&gt; 5006, 'genre_id' =&gt; 8150, 'score' =&gt; 0],</v>
      </c>
    </row>
    <row r="27" spans="1:34">
      <c r="A27" s="22"/>
      <c r="B27" s="6">
        <v>500</v>
      </c>
      <c r="C27" s="3">
        <v>5007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50</v>
      </c>
      <c r="K27" s="5">
        <v>50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50</v>
      </c>
      <c r="R27" s="5">
        <v>0</v>
      </c>
      <c r="T27" t="str">
        <f t="shared" si="14"/>
        <v>['question_id' =&gt; 500, 'option_id' =&gt; 5007, 'genre_id' =&gt; 8010, 'score' =&gt; 0],</v>
      </c>
      <c r="U27" t="str">
        <f t="shared" si="0"/>
        <v>['question_id' =&gt; 500, 'option_id' =&gt; 5007, 'genre_id' =&gt; 8020, 'score' =&gt; 0],</v>
      </c>
      <c r="V27" t="str">
        <f t="shared" si="1"/>
        <v>['question_id' =&gt; 500, 'option_id' =&gt; 5007, 'genre_id' =&gt; 8030, 'score' =&gt; 0],</v>
      </c>
      <c r="W27" t="str">
        <f t="shared" si="2"/>
        <v>['question_id' =&gt; 500, 'option_id' =&gt; 5007, 'genre_id' =&gt; 8040, 'score' =&gt; 0],</v>
      </c>
      <c r="X27" t="str">
        <f t="shared" si="3"/>
        <v>['question_id' =&gt; 500, 'option_id' =&gt; 5007, 'genre_id' =&gt; 8050, 'score' =&gt; 0],</v>
      </c>
      <c r="Y27" t="str">
        <f t="shared" si="4"/>
        <v>['question_id' =&gt; 500, 'option_id' =&gt; 5007, 'genre_id' =&gt; 8060, 'score' =&gt; 0],</v>
      </c>
      <c r="Z27" t="str">
        <f t="shared" si="5"/>
        <v>['question_id' =&gt; 500, 'option_id' =&gt; 5007, 'genre_id' =&gt; 8070, 'score' =&gt; 50],</v>
      </c>
      <c r="AA27" t="str">
        <f t="shared" si="6"/>
        <v>['question_id' =&gt; 500, 'option_id' =&gt; 5007, 'genre_id' =&gt; 8080, 'score' =&gt; 50],</v>
      </c>
      <c r="AB27" t="str">
        <f t="shared" si="7"/>
        <v>['question_id' =&gt; 500, 'option_id' =&gt; 5007, 'genre_id' =&gt; 8090, 'score' =&gt; 0],</v>
      </c>
      <c r="AC27" t="str">
        <f t="shared" si="8"/>
        <v>['question_id' =&gt; 500, 'option_id' =&gt; 5007, 'genre_id' =&gt; 8100, 'score' =&gt; 0],</v>
      </c>
      <c r="AD27" t="str">
        <f t="shared" si="9"/>
        <v>['question_id' =&gt; 500, 'option_id' =&gt; 5007, 'genre_id' =&gt; 8110, 'score' =&gt; 0],</v>
      </c>
      <c r="AE27" t="str">
        <f t="shared" si="10"/>
        <v>['question_id' =&gt; 500, 'option_id' =&gt; 5007, 'genre_id' =&gt; 8120, 'score' =&gt; 0],</v>
      </c>
      <c r="AF27" t="str">
        <f t="shared" si="11"/>
        <v>['question_id' =&gt; 500, 'option_id' =&gt; 5007, 'genre_id' =&gt; 8130, 'score' =&gt; 0],</v>
      </c>
      <c r="AG27" t="str">
        <f t="shared" si="12"/>
        <v>['question_id' =&gt; 500, 'option_id' =&gt; 5007, 'genre_id' =&gt; 8140, 'score' =&gt; 50],</v>
      </c>
      <c r="AH27" t="str">
        <f t="shared" si="13"/>
        <v>['question_id' =&gt; 500, 'option_id' =&gt; 5007, 'genre_id' =&gt; 8150, 'score' =&gt; 0],</v>
      </c>
    </row>
    <row r="28" spans="1:34">
      <c r="A28" s="22"/>
      <c r="B28" s="6">
        <v>500</v>
      </c>
      <c r="C28" s="3">
        <v>5008</v>
      </c>
      <c r="D28" s="5">
        <v>50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50</v>
      </c>
      <c r="R28" s="5">
        <v>50</v>
      </c>
      <c r="T28" t="str">
        <f t="shared" si="14"/>
        <v>['question_id' =&gt; 500, 'option_id' =&gt; 5008, 'genre_id' =&gt; 8010, 'score' =&gt; 50],</v>
      </c>
      <c r="U28" t="str">
        <f t="shared" si="0"/>
        <v>['question_id' =&gt; 500, 'option_id' =&gt; 5008, 'genre_id' =&gt; 8020, 'score' =&gt; 0],</v>
      </c>
      <c r="V28" t="str">
        <f t="shared" si="1"/>
        <v>['question_id' =&gt; 500, 'option_id' =&gt; 5008, 'genre_id' =&gt; 8030, 'score' =&gt; 0],</v>
      </c>
      <c r="W28" t="str">
        <f t="shared" si="2"/>
        <v>['question_id' =&gt; 500, 'option_id' =&gt; 5008, 'genre_id' =&gt; 8040, 'score' =&gt; 0],</v>
      </c>
      <c r="X28" t="str">
        <f t="shared" si="3"/>
        <v>['question_id' =&gt; 500, 'option_id' =&gt; 5008, 'genre_id' =&gt; 8050, 'score' =&gt; 0],</v>
      </c>
      <c r="Y28" t="str">
        <f t="shared" si="4"/>
        <v>['question_id' =&gt; 500, 'option_id' =&gt; 5008, 'genre_id' =&gt; 8060, 'score' =&gt; 0],</v>
      </c>
      <c r="Z28" t="str">
        <f t="shared" si="5"/>
        <v>['question_id' =&gt; 500, 'option_id' =&gt; 5008, 'genre_id' =&gt; 8070, 'score' =&gt; 0],</v>
      </c>
      <c r="AA28" t="str">
        <f t="shared" si="6"/>
        <v>['question_id' =&gt; 500, 'option_id' =&gt; 5008, 'genre_id' =&gt; 8080, 'score' =&gt; 0],</v>
      </c>
      <c r="AB28" t="str">
        <f t="shared" si="7"/>
        <v>['question_id' =&gt; 500, 'option_id' =&gt; 5008, 'genre_id' =&gt; 8090, 'score' =&gt; 0],</v>
      </c>
      <c r="AC28" t="str">
        <f t="shared" si="8"/>
        <v>['question_id' =&gt; 500, 'option_id' =&gt; 5008, 'genre_id' =&gt; 8100, 'score' =&gt; 0],</v>
      </c>
      <c r="AD28" t="str">
        <f t="shared" si="9"/>
        <v>['question_id' =&gt; 500, 'option_id' =&gt; 5008, 'genre_id' =&gt; 8110, 'score' =&gt; 0],</v>
      </c>
      <c r="AE28" t="str">
        <f t="shared" si="10"/>
        <v>['question_id' =&gt; 500, 'option_id' =&gt; 5008, 'genre_id' =&gt; 8120, 'score' =&gt; 0],</v>
      </c>
      <c r="AF28" t="str">
        <f t="shared" si="11"/>
        <v>['question_id' =&gt; 500, 'option_id' =&gt; 5008, 'genre_id' =&gt; 8130, 'score' =&gt; 0],</v>
      </c>
      <c r="AG28" t="str">
        <f t="shared" si="12"/>
        <v>['question_id' =&gt; 500, 'option_id' =&gt; 5008, 'genre_id' =&gt; 8140, 'score' =&gt; 50],</v>
      </c>
      <c r="AH28" t="str">
        <f t="shared" si="13"/>
        <v>['question_id' =&gt; 500, 'option_id' =&gt; 5008, 'genre_id' =&gt; 8150, 'score' =&gt; 50],</v>
      </c>
    </row>
    <row r="29" spans="1:34">
      <c r="A29" s="22"/>
      <c r="B29" s="6">
        <v>600</v>
      </c>
      <c r="C29" s="3">
        <v>6001</v>
      </c>
      <c r="D29" s="5">
        <v>50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50</v>
      </c>
      <c r="R29" s="5">
        <v>50</v>
      </c>
      <c r="T29" t="str">
        <f t="shared" si="14"/>
        <v>['question_id' =&gt; 600, 'option_id' =&gt; 6001, 'genre_id' =&gt; 8010, 'score' =&gt; 50],</v>
      </c>
      <c r="U29" t="str">
        <f t="shared" si="0"/>
        <v>['question_id' =&gt; 600, 'option_id' =&gt; 6001, 'genre_id' =&gt; 8020, 'score' =&gt; 0],</v>
      </c>
      <c r="V29" t="str">
        <f t="shared" si="1"/>
        <v>['question_id' =&gt; 600, 'option_id' =&gt; 6001, 'genre_id' =&gt; 8030, 'score' =&gt; 0],</v>
      </c>
      <c r="W29" t="str">
        <f t="shared" si="2"/>
        <v>['question_id' =&gt; 600, 'option_id' =&gt; 6001, 'genre_id' =&gt; 8040, 'score' =&gt; 0],</v>
      </c>
      <c r="X29" t="str">
        <f t="shared" si="3"/>
        <v>['question_id' =&gt; 600, 'option_id' =&gt; 6001, 'genre_id' =&gt; 8050, 'score' =&gt; 0],</v>
      </c>
      <c r="Y29" t="str">
        <f t="shared" si="4"/>
        <v>['question_id' =&gt; 600, 'option_id' =&gt; 6001, 'genre_id' =&gt; 8060, 'score' =&gt; 0],</v>
      </c>
      <c r="Z29" t="str">
        <f t="shared" si="5"/>
        <v>['question_id' =&gt; 600, 'option_id' =&gt; 6001, 'genre_id' =&gt; 8070, 'score' =&gt; 0],</v>
      </c>
      <c r="AA29" t="str">
        <f t="shared" si="6"/>
        <v>['question_id' =&gt; 600, 'option_id' =&gt; 6001, 'genre_id' =&gt; 8080, 'score' =&gt; 0],</v>
      </c>
      <c r="AB29" t="str">
        <f t="shared" si="7"/>
        <v>['question_id' =&gt; 600, 'option_id' =&gt; 6001, 'genre_id' =&gt; 8090, 'score' =&gt; 0],</v>
      </c>
      <c r="AC29" t="str">
        <f t="shared" si="8"/>
        <v>['question_id' =&gt; 600, 'option_id' =&gt; 6001, 'genre_id' =&gt; 8100, 'score' =&gt; 0],</v>
      </c>
      <c r="AD29" t="str">
        <f t="shared" si="9"/>
        <v>['question_id' =&gt; 600, 'option_id' =&gt; 6001, 'genre_id' =&gt; 8110, 'score' =&gt; 0],</v>
      </c>
      <c r="AE29" t="str">
        <f t="shared" si="10"/>
        <v>['question_id' =&gt; 600, 'option_id' =&gt; 6001, 'genre_id' =&gt; 8120, 'score' =&gt; 0],</v>
      </c>
      <c r="AF29" t="str">
        <f t="shared" si="11"/>
        <v>['question_id' =&gt; 600, 'option_id' =&gt; 6001, 'genre_id' =&gt; 8130, 'score' =&gt; 0],</v>
      </c>
      <c r="AG29" t="str">
        <f t="shared" si="12"/>
        <v>['question_id' =&gt; 600, 'option_id' =&gt; 6001, 'genre_id' =&gt; 8140, 'score' =&gt; 50],</v>
      </c>
      <c r="AH29" t="str">
        <f t="shared" si="13"/>
        <v>['question_id' =&gt; 600, 'option_id' =&gt; 6001, 'genre_id' =&gt; 8150, 'score' =&gt; 50],</v>
      </c>
    </row>
    <row r="30" spans="1:34">
      <c r="A30" s="22"/>
      <c r="B30" s="6">
        <v>600</v>
      </c>
      <c r="C30" s="3">
        <v>6002</v>
      </c>
      <c r="D30" s="5">
        <v>40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40</v>
      </c>
      <c r="M30" s="5">
        <v>40</v>
      </c>
      <c r="N30" s="5">
        <v>40</v>
      </c>
      <c r="O30" s="5">
        <v>0</v>
      </c>
      <c r="P30" s="5">
        <v>0</v>
      </c>
      <c r="Q30" s="5">
        <v>0</v>
      </c>
      <c r="R30" s="5">
        <v>0</v>
      </c>
      <c r="T30" t="str">
        <f t="shared" si="14"/>
        <v>['question_id' =&gt; 600, 'option_id' =&gt; 6002, 'genre_id' =&gt; 8010, 'score' =&gt; 40],</v>
      </c>
      <c r="U30" t="str">
        <f t="shared" si="0"/>
        <v>['question_id' =&gt; 600, 'option_id' =&gt; 6002, 'genre_id' =&gt; 8020, 'score' =&gt; 0],</v>
      </c>
      <c r="V30" t="str">
        <f t="shared" si="1"/>
        <v>['question_id' =&gt; 600, 'option_id' =&gt; 6002, 'genre_id' =&gt; 8030, 'score' =&gt; 0],</v>
      </c>
      <c r="W30" t="str">
        <f t="shared" si="2"/>
        <v>['question_id' =&gt; 600, 'option_id' =&gt; 6002, 'genre_id' =&gt; 8040, 'score' =&gt; 0],</v>
      </c>
      <c r="X30" t="str">
        <f t="shared" si="3"/>
        <v>['question_id' =&gt; 600, 'option_id' =&gt; 6002, 'genre_id' =&gt; 8050, 'score' =&gt; 0],</v>
      </c>
      <c r="Y30" t="str">
        <f t="shared" si="4"/>
        <v>['question_id' =&gt; 600, 'option_id' =&gt; 6002, 'genre_id' =&gt; 8060, 'score' =&gt; 0],</v>
      </c>
      <c r="Z30" t="str">
        <f t="shared" si="5"/>
        <v>['question_id' =&gt; 600, 'option_id' =&gt; 6002, 'genre_id' =&gt; 8070, 'score' =&gt; 0],</v>
      </c>
      <c r="AA30" t="str">
        <f t="shared" si="6"/>
        <v>['question_id' =&gt; 600, 'option_id' =&gt; 6002, 'genre_id' =&gt; 8080, 'score' =&gt; 0],</v>
      </c>
      <c r="AB30" t="str">
        <f t="shared" si="7"/>
        <v>['question_id' =&gt; 600, 'option_id' =&gt; 6002, 'genre_id' =&gt; 8090, 'score' =&gt; 40],</v>
      </c>
      <c r="AC30" t="str">
        <f t="shared" si="8"/>
        <v>['question_id' =&gt; 600, 'option_id' =&gt; 6002, 'genre_id' =&gt; 8100, 'score' =&gt; 40],</v>
      </c>
      <c r="AD30" t="str">
        <f t="shared" si="9"/>
        <v>['question_id' =&gt; 600, 'option_id' =&gt; 6002, 'genre_id' =&gt; 8110, 'score' =&gt; 40],</v>
      </c>
      <c r="AE30" t="str">
        <f t="shared" si="10"/>
        <v>['question_id' =&gt; 600, 'option_id' =&gt; 6002, 'genre_id' =&gt; 8120, 'score' =&gt; 0],</v>
      </c>
      <c r="AF30" t="str">
        <f t="shared" si="11"/>
        <v>['question_id' =&gt; 600, 'option_id' =&gt; 6002, 'genre_id' =&gt; 8130, 'score' =&gt; 0],</v>
      </c>
      <c r="AG30" t="str">
        <f t="shared" si="12"/>
        <v>['question_id' =&gt; 600, 'option_id' =&gt; 6002, 'genre_id' =&gt; 8140, 'score' =&gt; 0],</v>
      </c>
      <c r="AH30" t="str">
        <f t="shared" si="13"/>
        <v>['question_id' =&gt; 600, 'option_id' =&gt; 6002, 'genre_id' =&gt; 8150, 'score' =&gt; 0],</v>
      </c>
    </row>
    <row r="31" spans="1:34">
      <c r="A31" s="22"/>
      <c r="B31" s="6">
        <v>600</v>
      </c>
      <c r="C31" s="3">
        <v>6003</v>
      </c>
      <c r="D31" s="5">
        <v>40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40</v>
      </c>
      <c r="M31" s="5">
        <v>40</v>
      </c>
      <c r="N31" s="5">
        <v>40</v>
      </c>
      <c r="O31" s="5">
        <v>0</v>
      </c>
      <c r="P31" s="5">
        <v>0</v>
      </c>
      <c r="Q31" s="5">
        <v>0</v>
      </c>
      <c r="R31" s="5">
        <v>0</v>
      </c>
      <c r="T31" t="str">
        <f t="shared" si="14"/>
        <v>['question_id' =&gt; 600, 'option_id' =&gt; 6003, 'genre_id' =&gt; 8010, 'score' =&gt; 40],</v>
      </c>
      <c r="U31" t="str">
        <f t="shared" si="0"/>
        <v>['question_id' =&gt; 600, 'option_id' =&gt; 6003, 'genre_id' =&gt; 8020, 'score' =&gt; 0],</v>
      </c>
      <c r="V31" t="str">
        <f t="shared" si="1"/>
        <v>['question_id' =&gt; 600, 'option_id' =&gt; 6003, 'genre_id' =&gt; 8030, 'score' =&gt; 0],</v>
      </c>
      <c r="W31" t="str">
        <f t="shared" si="2"/>
        <v>['question_id' =&gt; 600, 'option_id' =&gt; 6003, 'genre_id' =&gt; 8040, 'score' =&gt; 0],</v>
      </c>
      <c r="X31" t="str">
        <f t="shared" si="3"/>
        <v>['question_id' =&gt; 600, 'option_id' =&gt; 6003, 'genre_id' =&gt; 8050, 'score' =&gt; 0],</v>
      </c>
      <c r="Y31" t="str">
        <f t="shared" si="4"/>
        <v>['question_id' =&gt; 600, 'option_id' =&gt; 6003, 'genre_id' =&gt; 8060, 'score' =&gt; 0],</v>
      </c>
      <c r="Z31" t="str">
        <f t="shared" si="5"/>
        <v>['question_id' =&gt; 600, 'option_id' =&gt; 6003, 'genre_id' =&gt; 8070, 'score' =&gt; 0],</v>
      </c>
      <c r="AA31" t="str">
        <f t="shared" si="6"/>
        <v>['question_id' =&gt; 600, 'option_id' =&gt; 6003, 'genre_id' =&gt; 8080, 'score' =&gt; 0],</v>
      </c>
      <c r="AB31" t="str">
        <f t="shared" si="7"/>
        <v>['question_id' =&gt; 600, 'option_id' =&gt; 6003, 'genre_id' =&gt; 8090, 'score' =&gt; 40],</v>
      </c>
      <c r="AC31" t="str">
        <f t="shared" si="8"/>
        <v>['question_id' =&gt; 600, 'option_id' =&gt; 6003, 'genre_id' =&gt; 8100, 'score' =&gt; 40],</v>
      </c>
      <c r="AD31" t="str">
        <f t="shared" si="9"/>
        <v>['question_id' =&gt; 600, 'option_id' =&gt; 6003, 'genre_id' =&gt; 8110, 'score' =&gt; 40],</v>
      </c>
      <c r="AE31" t="str">
        <f t="shared" si="10"/>
        <v>['question_id' =&gt; 600, 'option_id' =&gt; 6003, 'genre_id' =&gt; 8120, 'score' =&gt; 0],</v>
      </c>
      <c r="AF31" t="str">
        <f t="shared" si="11"/>
        <v>['question_id' =&gt; 600, 'option_id' =&gt; 6003, 'genre_id' =&gt; 8130, 'score' =&gt; 0],</v>
      </c>
      <c r="AG31" t="str">
        <f t="shared" si="12"/>
        <v>['question_id' =&gt; 600, 'option_id' =&gt; 6003, 'genre_id' =&gt; 8140, 'score' =&gt; 0],</v>
      </c>
      <c r="AH31" t="str">
        <f t="shared" si="13"/>
        <v>['question_id' =&gt; 600, 'option_id' =&gt; 6003, 'genre_id' =&gt; 8150, 'score' =&gt; 0],</v>
      </c>
    </row>
    <row r="32" spans="1:34">
      <c r="A32" s="22"/>
      <c r="B32" s="6">
        <v>600</v>
      </c>
      <c r="C32" s="3">
        <v>6004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50</v>
      </c>
      <c r="K32" s="5">
        <v>50</v>
      </c>
      <c r="L32" s="5">
        <v>0</v>
      </c>
      <c r="M32" s="5">
        <v>0</v>
      </c>
      <c r="N32" s="5">
        <v>50</v>
      </c>
      <c r="O32" s="5">
        <v>0</v>
      </c>
      <c r="P32" s="5">
        <v>0</v>
      </c>
      <c r="Q32" s="5">
        <v>0</v>
      </c>
      <c r="R32" s="5">
        <v>0</v>
      </c>
      <c r="T32" t="str">
        <f t="shared" si="14"/>
        <v>['question_id' =&gt; 600, 'option_id' =&gt; 6004, 'genre_id' =&gt; 8010, 'score' =&gt; 0],</v>
      </c>
      <c r="U32" t="str">
        <f t="shared" si="0"/>
        <v>['question_id' =&gt; 600, 'option_id' =&gt; 6004, 'genre_id' =&gt; 8020, 'score' =&gt; 0],</v>
      </c>
      <c r="V32" t="str">
        <f t="shared" si="1"/>
        <v>['question_id' =&gt; 600, 'option_id' =&gt; 6004, 'genre_id' =&gt; 8030, 'score' =&gt; 0],</v>
      </c>
      <c r="W32" t="str">
        <f t="shared" si="2"/>
        <v>['question_id' =&gt; 600, 'option_id' =&gt; 6004, 'genre_id' =&gt; 8040, 'score' =&gt; 0],</v>
      </c>
      <c r="X32" t="str">
        <f t="shared" si="3"/>
        <v>['question_id' =&gt; 600, 'option_id' =&gt; 6004, 'genre_id' =&gt; 8050, 'score' =&gt; 0],</v>
      </c>
      <c r="Y32" t="str">
        <f t="shared" si="4"/>
        <v>['question_id' =&gt; 600, 'option_id' =&gt; 6004, 'genre_id' =&gt; 8060, 'score' =&gt; 0],</v>
      </c>
      <c r="Z32" t="str">
        <f t="shared" si="5"/>
        <v>['question_id' =&gt; 600, 'option_id' =&gt; 6004, 'genre_id' =&gt; 8070, 'score' =&gt; 50],</v>
      </c>
      <c r="AA32" t="str">
        <f t="shared" si="6"/>
        <v>['question_id' =&gt; 600, 'option_id' =&gt; 6004, 'genre_id' =&gt; 8080, 'score' =&gt; 50],</v>
      </c>
      <c r="AB32" t="str">
        <f t="shared" si="7"/>
        <v>['question_id' =&gt; 600, 'option_id' =&gt; 6004, 'genre_id' =&gt; 8090, 'score' =&gt; 0],</v>
      </c>
      <c r="AC32" t="str">
        <f t="shared" si="8"/>
        <v>['question_id' =&gt; 600, 'option_id' =&gt; 6004, 'genre_id' =&gt; 8100, 'score' =&gt; 0],</v>
      </c>
      <c r="AD32" t="str">
        <f t="shared" si="9"/>
        <v>['question_id' =&gt; 600, 'option_id' =&gt; 6004, 'genre_id' =&gt; 8110, 'score' =&gt; 50],</v>
      </c>
      <c r="AE32" t="str">
        <f t="shared" si="10"/>
        <v>['question_id' =&gt; 600, 'option_id' =&gt; 6004, 'genre_id' =&gt; 8120, 'score' =&gt; 0],</v>
      </c>
      <c r="AF32" t="str">
        <f t="shared" si="11"/>
        <v>['question_id' =&gt; 600, 'option_id' =&gt; 6004, 'genre_id' =&gt; 8130, 'score' =&gt; 0],</v>
      </c>
      <c r="AG32" t="str">
        <f t="shared" si="12"/>
        <v>['question_id' =&gt; 600, 'option_id' =&gt; 6004, 'genre_id' =&gt; 8140, 'score' =&gt; 0],</v>
      </c>
      <c r="AH32" t="str">
        <f t="shared" si="13"/>
        <v>['question_id' =&gt; 600, 'option_id' =&gt; 6004, 'genre_id' =&gt; 8150, 'score' =&gt; 0],</v>
      </c>
    </row>
    <row r="33" spans="1:34">
      <c r="A33" s="22"/>
      <c r="B33" s="6">
        <v>600</v>
      </c>
      <c r="C33" s="3">
        <v>6005</v>
      </c>
      <c r="D33" s="5">
        <v>0</v>
      </c>
      <c r="E33" s="5">
        <v>0</v>
      </c>
      <c r="F33" s="5">
        <v>0</v>
      </c>
      <c r="G33" s="5">
        <v>50</v>
      </c>
      <c r="H33" s="5">
        <v>50</v>
      </c>
      <c r="I33" s="5">
        <v>0</v>
      </c>
      <c r="J33" s="5">
        <v>0</v>
      </c>
      <c r="K33" s="5">
        <v>0</v>
      </c>
      <c r="L33" s="5">
        <v>0</v>
      </c>
      <c r="M33" s="5">
        <v>50</v>
      </c>
      <c r="N33" s="5">
        <v>50</v>
      </c>
      <c r="O33" s="5">
        <v>0</v>
      </c>
      <c r="P33" s="5">
        <v>0</v>
      </c>
      <c r="Q33" s="5">
        <v>0</v>
      </c>
      <c r="R33" s="5">
        <v>0</v>
      </c>
      <c r="T33" t="str">
        <f t="shared" si="14"/>
        <v>['question_id' =&gt; 600, 'option_id' =&gt; 6005, 'genre_id' =&gt; 8010, 'score' =&gt; 0],</v>
      </c>
      <c r="U33" t="str">
        <f t="shared" si="0"/>
        <v>['question_id' =&gt; 600, 'option_id' =&gt; 6005, 'genre_id' =&gt; 8020, 'score' =&gt; 0],</v>
      </c>
      <c r="V33" t="str">
        <f t="shared" si="1"/>
        <v>['question_id' =&gt; 600, 'option_id' =&gt; 6005, 'genre_id' =&gt; 8030, 'score' =&gt; 0],</v>
      </c>
      <c r="W33" t="str">
        <f t="shared" si="2"/>
        <v>['question_id' =&gt; 600, 'option_id' =&gt; 6005, 'genre_id' =&gt; 8040, 'score' =&gt; 50],</v>
      </c>
      <c r="X33" t="str">
        <f t="shared" si="3"/>
        <v>['question_id' =&gt; 600, 'option_id' =&gt; 6005, 'genre_id' =&gt; 8050, 'score' =&gt; 50],</v>
      </c>
      <c r="Y33" t="str">
        <f t="shared" si="4"/>
        <v>['question_id' =&gt; 600, 'option_id' =&gt; 6005, 'genre_id' =&gt; 8060, 'score' =&gt; 0],</v>
      </c>
      <c r="Z33" t="str">
        <f t="shared" si="5"/>
        <v>['question_id' =&gt; 600, 'option_id' =&gt; 6005, 'genre_id' =&gt; 8070, 'score' =&gt; 0],</v>
      </c>
      <c r="AA33" t="str">
        <f t="shared" si="6"/>
        <v>['question_id' =&gt; 600, 'option_id' =&gt; 6005, 'genre_id' =&gt; 8080, 'score' =&gt; 0],</v>
      </c>
      <c r="AB33" t="str">
        <f t="shared" si="7"/>
        <v>['question_id' =&gt; 600, 'option_id' =&gt; 6005, 'genre_id' =&gt; 8090, 'score' =&gt; 0],</v>
      </c>
      <c r="AC33" t="str">
        <f t="shared" si="8"/>
        <v>['question_id' =&gt; 600, 'option_id' =&gt; 6005, 'genre_id' =&gt; 8100, 'score' =&gt; 50],</v>
      </c>
      <c r="AD33" t="str">
        <f t="shared" si="9"/>
        <v>['question_id' =&gt; 600, 'option_id' =&gt; 6005, 'genre_id' =&gt; 8110, 'score' =&gt; 50],</v>
      </c>
      <c r="AE33" t="str">
        <f t="shared" si="10"/>
        <v>['question_id' =&gt; 600, 'option_id' =&gt; 6005, 'genre_id' =&gt; 8120, 'score' =&gt; 0],</v>
      </c>
      <c r="AF33" t="str">
        <f t="shared" si="11"/>
        <v>['question_id' =&gt; 600, 'option_id' =&gt; 6005, 'genre_id' =&gt; 8130, 'score' =&gt; 0],</v>
      </c>
      <c r="AG33" t="str">
        <f t="shared" si="12"/>
        <v>['question_id' =&gt; 600, 'option_id' =&gt; 6005, 'genre_id' =&gt; 8140, 'score' =&gt; 0],</v>
      </c>
      <c r="AH33" t="str">
        <f t="shared" si="13"/>
        <v>['question_id' =&gt; 600, 'option_id' =&gt; 6005, 'genre_id' =&gt; 8150, 'score' =&gt; 0],</v>
      </c>
    </row>
    <row r="34" spans="1:34">
      <c r="A34" s="22"/>
      <c r="B34" s="6">
        <v>700</v>
      </c>
      <c r="C34" s="3">
        <v>7001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t="str">
        <f t="shared" si="14"/>
        <v>['question_id' =&gt; 700, 'option_id' =&gt; 7001, 'genre_id' =&gt; 8010, 'score' =&gt; 0],</v>
      </c>
      <c r="U34" t="str">
        <f t="shared" si="0"/>
        <v>['question_id' =&gt; 700, 'option_id' =&gt; 7001, 'genre_id' =&gt; 8020, 'score' =&gt; 0],</v>
      </c>
      <c r="V34" t="str">
        <f t="shared" si="1"/>
        <v>['question_id' =&gt; 700, 'option_id' =&gt; 7001, 'genre_id' =&gt; 8030, 'score' =&gt; 0],</v>
      </c>
      <c r="W34" t="str">
        <f t="shared" si="2"/>
        <v>['question_id' =&gt; 700, 'option_id' =&gt; 7001, 'genre_id' =&gt; 8040, 'score' =&gt; 0],</v>
      </c>
      <c r="X34" t="str">
        <f t="shared" si="3"/>
        <v>['question_id' =&gt; 700, 'option_id' =&gt; 7001, 'genre_id' =&gt; 8050, 'score' =&gt; 0],</v>
      </c>
      <c r="Y34" t="str">
        <f t="shared" si="4"/>
        <v>['question_id' =&gt; 700, 'option_id' =&gt; 7001, 'genre_id' =&gt; 8060, 'score' =&gt; 0],</v>
      </c>
      <c r="Z34" t="str">
        <f t="shared" si="5"/>
        <v>['question_id' =&gt; 700, 'option_id' =&gt; 7001, 'genre_id' =&gt; 8070, 'score' =&gt; 0],</v>
      </c>
      <c r="AA34" t="str">
        <f t="shared" si="6"/>
        <v>['question_id' =&gt; 700, 'option_id' =&gt; 7001, 'genre_id' =&gt; 8080, 'score' =&gt; 0],</v>
      </c>
      <c r="AB34" t="str">
        <f t="shared" si="7"/>
        <v>['question_id' =&gt; 700, 'option_id' =&gt; 7001, 'genre_id' =&gt; 8090, 'score' =&gt; 0],</v>
      </c>
      <c r="AC34" t="str">
        <f t="shared" si="8"/>
        <v>['question_id' =&gt; 700, 'option_id' =&gt; 7001, 'genre_id' =&gt; 8100, 'score' =&gt; 0],</v>
      </c>
      <c r="AD34" t="str">
        <f t="shared" si="9"/>
        <v>['question_id' =&gt; 700, 'option_id' =&gt; 7001, 'genre_id' =&gt; 8110, 'score' =&gt; 0],</v>
      </c>
      <c r="AE34" t="str">
        <f t="shared" si="10"/>
        <v>['question_id' =&gt; 700, 'option_id' =&gt; 7001, 'genre_id' =&gt; 8120, 'score' =&gt; 0],</v>
      </c>
      <c r="AF34" t="str">
        <f t="shared" si="11"/>
        <v>['question_id' =&gt; 700, 'option_id' =&gt; 7001, 'genre_id' =&gt; 8130, 'score' =&gt; 0],</v>
      </c>
      <c r="AG34" t="str">
        <f t="shared" si="12"/>
        <v>['question_id' =&gt; 700, 'option_id' =&gt; 7001, 'genre_id' =&gt; 8140, 'score' =&gt; 0],</v>
      </c>
      <c r="AH34" t="str">
        <f t="shared" si="13"/>
        <v>['question_id' =&gt; 700, 'option_id' =&gt; 7001, 'genre_id' =&gt; 8150, 'score' =&gt; 0],</v>
      </c>
    </row>
    <row r="35" spans="1:34">
      <c r="A35" s="22"/>
      <c r="B35" s="6">
        <v>700</v>
      </c>
      <c r="C35" s="3">
        <v>7002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30</v>
      </c>
      <c r="M35" s="5">
        <v>0</v>
      </c>
      <c r="N35" s="5">
        <v>0</v>
      </c>
      <c r="O35" s="5">
        <v>30</v>
      </c>
      <c r="P35" s="5">
        <v>30</v>
      </c>
      <c r="Q35" s="5">
        <v>0</v>
      </c>
      <c r="R35" s="5">
        <v>0</v>
      </c>
      <c r="T35" t="str">
        <f t="shared" si="14"/>
        <v>['question_id' =&gt; 700, 'option_id' =&gt; 7002, 'genre_id' =&gt; 8010, 'score' =&gt; 0],</v>
      </c>
      <c r="U35" t="str">
        <f t="shared" si="0"/>
        <v>['question_id' =&gt; 700, 'option_id' =&gt; 7002, 'genre_id' =&gt; 8020, 'score' =&gt; 0],</v>
      </c>
      <c r="V35" t="str">
        <f t="shared" si="1"/>
        <v>['question_id' =&gt; 700, 'option_id' =&gt; 7002, 'genre_id' =&gt; 8030, 'score' =&gt; 0],</v>
      </c>
      <c r="W35" t="str">
        <f t="shared" si="2"/>
        <v>['question_id' =&gt; 700, 'option_id' =&gt; 7002, 'genre_id' =&gt; 8040, 'score' =&gt; 0],</v>
      </c>
      <c r="X35" t="str">
        <f t="shared" si="3"/>
        <v>['question_id' =&gt; 700, 'option_id' =&gt; 7002, 'genre_id' =&gt; 8050, 'score' =&gt; 0],</v>
      </c>
      <c r="Y35" t="str">
        <f t="shared" si="4"/>
        <v>['question_id' =&gt; 700, 'option_id' =&gt; 7002, 'genre_id' =&gt; 8060, 'score' =&gt; 0],</v>
      </c>
      <c r="Z35" t="str">
        <f t="shared" si="5"/>
        <v>['question_id' =&gt; 700, 'option_id' =&gt; 7002, 'genre_id' =&gt; 8070, 'score' =&gt; 0],</v>
      </c>
      <c r="AA35" t="str">
        <f t="shared" si="6"/>
        <v>['question_id' =&gt; 700, 'option_id' =&gt; 7002, 'genre_id' =&gt; 8080, 'score' =&gt; 0],</v>
      </c>
      <c r="AB35" t="str">
        <f t="shared" si="7"/>
        <v>['question_id' =&gt; 700, 'option_id' =&gt; 7002, 'genre_id' =&gt; 8090, 'score' =&gt; 30],</v>
      </c>
      <c r="AC35" t="str">
        <f t="shared" si="8"/>
        <v>['question_id' =&gt; 700, 'option_id' =&gt; 7002, 'genre_id' =&gt; 8100, 'score' =&gt; 0],</v>
      </c>
      <c r="AD35" t="str">
        <f t="shared" si="9"/>
        <v>['question_id' =&gt; 700, 'option_id' =&gt; 7002, 'genre_id' =&gt; 8110, 'score' =&gt; 0],</v>
      </c>
      <c r="AE35" t="str">
        <f t="shared" si="10"/>
        <v>['question_id' =&gt; 700, 'option_id' =&gt; 7002, 'genre_id' =&gt; 8120, 'score' =&gt; 30],</v>
      </c>
      <c r="AF35" t="str">
        <f t="shared" si="11"/>
        <v>['question_id' =&gt; 700, 'option_id' =&gt; 7002, 'genre_id' =&gt; 8130, 'score' =&gt; 30],</v>
      </c>
      <c r="AG35" t="str">
        <f t="shared" si="12"/>
        <v>['question_id' =&gt; 700, 'option_id' =&gt; 7002, 'genre_id' =&gt; 8140, 'score' =&gt; 0],</v>
      </c>
      <c r="AH35" t="str">
        <f t="shared" si="13"/>
        <v>['question_id' =&gt; 700, 'option_id' =&gt; 7002, 'genre_id' =&gt; 8150, 'score' =&gt; 0],</v>
      </c>
    </row>
    <row r="36" spans="1:34">
      <c r="A36" s="22"/>
      <c r="B36" s="6">
        <v>700</v>
      </c>
      <c r="C36" s="3">
        <v>7003</v>
      </c>
      <c r="D36" s="5">
        <v>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50</v>
      </c>
      <c r="R36" s="5">
        <v>50</v>
      </c>
      <c r="T36" t="str">
        <f t="shared" si="14"/>
        <v>['question_id' =&gt; 700, 'option_id' =&gt; 7003, 'genre_id' =&gt; 8010, 'score' =&gt; 50],</v>
      </c>
      <c r="U36" t="str">
        <f t="shared" si="0"/>
        <v>['question_id' =&gt; 700, 'option_id' =&gt; 7003, 'genre_id' =&gt; 8020, 'score' =&gt; 0],</v>
      </c>
      <c r="V36" t="str">
        <f t="shared" si="1"/>
        <v>['question_id' =&gt; 700, 'option_id' =&gt; 7003, 'genre_id' =&gt; 8030, 'score' =&gt; 0],</v>
      </c>
      <c r="W36" t="str">
        <f t="shared" si="2"/>
        <v>['question_id' =&gt; 700, 'option_id' =&gt; 7003, 'genre_id' =&gt; 8040, 'score' =&gt; 0],</v>
      </c>
      <c r="X36" t="str">
        <f t="shared" si="3"/>
        <v>['question_id' =&gt; 700, 'option_id' =&gt; 7003, 'genre_id' =&gt; 8050, 'score' =&gt; 0],</v>
      </c>
      <c r="Y36" t="str">
        <f t="shared" si="4"/>
        <v>['question_id' =&gt; 700, 'option_id' =&gt; 7003, 'genre_id' =&gt; 8060, 'score' =&gt; 0],</v>
      </c>
      <c r="Z36" t="str">
        <f t="shared" si="5"/>
        <v>['question_id' =&gt; 700, 'option_id' =&gt; 7003, 'genre_id' =&gt; 8070, 'score' =&gt; 0],</v>
      </c>
      <c r="AA36" t="str">
        <f t="shared" si="6"/>
        <v>['question_id' =&gt; 700, 'option_id' =&gt; 7003, 'genre_id' =&gt; 8080, 'score' =&gt; 0],</v>
      </c>
      <c r="AB36" t="str">
        <f t="shared" si="7"/>
        <v>['question_id' =&gt; 700, 'option_id' =&gt; 7003, 'genre_id' =&gt; 8090, 'score' =&gt; 0],</v>
      </c>
      <c r="AC36" t="str">
        <f t="shared" si="8"/>
        <v>['question_id' =&gt; 700, 'option_id' =&gt; 7003, 'genre_id' =&gt; 8100, 'score' =&gt; 0],</v>
      </c>
      <c r="AD36" t="str">
        <f t="shared" si="9"/>
        <v>['question_id' =&gt; 700, 'option_id' =&gt; 7003, 'genre_id' =&gt; 8110, 'score' =&gt; 0],</v>
      </c>
      <c r="AE36" t="str">
        <f t="shared" si="10"/>
        <v>['question_id' =&gt; 700, 'option_id' =&gt; 7003, 'genre_id' =&gt; 8120, 'score' =&gt; 0],</v>
      </c>
      <c r="AF36" t="str">
        <f t="shared" si="11"/>
        <v>['question_id' =&gt; 700, 'option_id' =&gt; 7003, 'genre_id' =&gt; 8130, 'score' =&gt; 0],</v>
      </c>
      <c r="AG36" t="str">
        <f t="shared" si="12"/>
        <v>['question_id' =&gt; 700, 'option_id' =&gt; 7003, 'genre_id' =&gt; 8140, 'score' =&gt; 50],</v>
      </c>
      <c r="AH36" t="str">
        <f t="shared" si="13"/>
        <v>['question_id' =&gt; 700, 'option_id' =&gt; 7003, 'genre_id' =&gt; 8150, 'score' =&gt; 50],</v>
      </c>
    </row>
    <row r="37" spans="1:34">
      <c r="A37" s="23"/>
      <c r="B37" s="20">
        <v>800</v>
      </c>
      <c r="C37" s="3">
        <v>8001</v>
      </c>
      <c r="D37" s="21">
        <v>0</v>
      </c>
      <c r="E37" s="21">
        <v>30</v>
      </c>
      <c r="F37" s="21">
        <v>0</v>
      </c>
      <c r="G37" s="21">
        <v>0</v>
      </c>
      <c r="H37" s="21">
        <v>0</v>
      </c>
      <c r="I37" s="21">
        <v>0</v>
      </c>
      <c r="J37" s="21">
        <v>30</v>
      </c>
      <c r="K37" s="21">
        <v>30</v>
      </c>
      <c r="L37" s="21">
        <v>0</v>
      </c>
      <c r="M37" s="21">
        <v>0</v>
      </c>
      <c r="N37" s="21">
        <v>30</v>
      </c>
      <c r="O37" s="21">
        <v>0</v>
      </c>
      <c r="P37" s="21">
        <v>0</v>
      </c>
      <c r="Q37" s="21">
        <v>0</v>
      </c>
      <c r="R37" s="21">
        <v>0</v>
      </c>
      <c r="T37" t="str">
        <f t="shared" si="14"/>
        <v>['question_id' =&gt; 800, 'option_id' =&gt; 8001, 'genre_id' =&gt; 8010, 'score' =&gt; 0],</v>
      </c>
      <c r="U37" t="str">
        <f t="shared" si="0"/>
        <v>['question_id' =&gt; 800, 'option_id' =&gt; 8001, 'genre_id' =&gt; 8020, 'score' =&gt; 30],</v>
      </c>
      <c r="V37" t="str">
        <f t="shared" si="1"/>
        <v>['question_id' =&gt; 800, 'option_id' =&gt; 8001, 'genre_id' =&gt; 8030, 'score' =&gt; 0],</v>
      </c>
      <c r="W37" t="str">
        <f t="shared" si="2"/>
        <v>['question_id' =&gt; 800, 'option_id' =&gt; 8001, 'genre_id' =&gt; 8040, 'score' =&gt; 0],</v>
      </c>
      <c r="X37" t="str">
        <f t="shared" si="3"/>
        <v>['question_id' =&gt; 800, 'option_id' =&gt; 8001, 'genre_id' =&gt; 8050, 'score' =&gt; 0],</v>
      </c>
      <c r="Y37" t="str">
        <f t="shared" si="4"/>
        <v>['question_id' =&gt; 800, 'option_id' =&gt; 8001, 'genre_id' =&gt; 8060, 'score' =&gt; 0],</v>
      </c>
      <c r="Z37" t="str">
        <f t="shared" si="5"/>
        <v>['question_id' =&gt; 800, 'option_id' =&gt; 8001, 'genre_id' =&gt; 8070, 'score' =&gt; 30],</v>
      </c>
      <c r="AA37" t="str">
        <f t="shared" si="6"/>
        <v>['question_id' =&gt; 800, 'option_id' =&gt; 8001, 'genre_id' =&gt; 8080, 'score' =&gt; 30],</v>
      </c>
      <c r="AB37" t="str">
        <f t="shared" si="7"/>
        <v>['question_id' =&gt; 800, 'option_id' =&gt; 8001, 'genre_id' =&gt; 8090, 'score' =&gt; 0],</v>
      </c>
      <c r="AC37" t="str">
        <f t="shared" si="8"/>
        <v>['question_id' =&gt; 800, 'option_id' =&gt; 8001, 'genre_id' =&gt; 8100, 'score' =&gt; 0],</v>
      </c>
      <c r="AD37" t="str">
        <f t="shared" si="9"/>
        <v>['question_id' =&gt; 800, 'option_id' =&gt; 8001, 'genre_id' =&gt; 8110, 'score' =&gt; 30],</v>
      </c>
      <c r="AE37" t="str">
        <f t="shared" si="10"/>
        <v>['question_id' =&gt; 800, 'option_id' =&gt; 8001, 'genre_id' =&gt; 8120, 'score' =&gt; 0],</v>
      </c>
      <c r="AF37" t="str">
        <f t="shared" si="11"/>
        <v>['question_id' =&gt; 800, 'option_id' =&gt; 8001, 'genre_id' =&gt; 8130, 'score' =&gt; 0],</v>
      </c>
      <c r="AG37" t="str">
        <f t="shared" si="12"/>
        <v>['question_id' =&gt; 800, 'option_id' =&gt; 8001, 'genre_id' =&gt; 8140, 'score' =&gt; 0],</v>
      </c>
      <c r="AH37" t="str">
        <f t="shared" si="13"/>
        <v>['question_id' =&gt; 800, 'option_id' =&gt; 8001, 'genre_id' =&gt; 8150, 'score' =&gt; 0],</v>
      </c>
    </row>
    <row r="38" spans="1:34">
      <c r="A38" s="23"/>
      <c r="B38" s="20">
        <v>800</v>
      </c>
      <c r="C38" s="3">
        <v>8002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T38" t="str">
        <f t="shared" si="14"/>
        <v>['question_id' =&gt; 800, 'option_id' =&gt; 8002, 'genre_id' =&gt; 8010, 'score' =&gt; 0],</v>
      </c>
      <c r="U38" t="str">
        <f t="shared" si="0"/>
        <v>['question_id' =&gt; 800, 'option_id' =&gt; 8002, 'genre_id' =&gt; 8020, 'score' =&gt; 0],</v>
      </c>
      <c r="V38" t="str">
        <f t="shared" si="1"/>
        <v>['question_id' =&gt; 800, 'option_id' =&gt; 8002, 'genre_id' =&gt; 8030, 'score' =&gt; 0],</v>
      </c>
      <c r="W38" t="str">
        <f t="shared" si="2"/>
        <v>['question_id' =&gt; 800, 'option_id' =&gt; 8002, 'genre_id' =&gt; 8040, 'score' =&gt; 0],</v>
      </c>
      <c r="X38" t="str">
        <f t="shared" si="3"/>
        <v>['question_id' =&gt; 800, 'option_id' =&gt; 8002, 'genre_id' =&gt; 8050, 'score' =&gt; 0],</v>
      </c>
      <c r="Y38" t="str">
        <f t="shared" si="4"/>
        <v>['question_id' =&gt; 800, 'option_id' =&gt; 8002, 'genre_id' =&gt; 8060, 'score' =&gt; 0],</v>
      </c>
      <c r="Z38" t="str">
        <f t="shared" si="5"/>
        <v>['question_id' =&gt; 800, 'option_id' =&gt; 8002, 'genre_id' =&gt; 8070, 'score' =&gt; 0],</v>
      </c>
      <c r="AA38" t="str">
        <f t="shared" si="6"/>
        <v>['question_id' =&gt; 800, 'option_id' =&gt; 8002, 'genre_id' =&gt; 8080, 'score' =&gt; 0],</v>
      </c>
      <c r="AB38" t="str">
        <f t="shared" si="7"/>
        <v>['question_id' =&gt; 800, 'option_id' =&gt; 8002, 'genre_id' =&gt; 8090, 'score' =&gt; 0],</v>
      </c>
      <c r="AC38" t="str">
        <f t="shared" si="8"/>
        <v>['question_id' =&gt; 800, 'option_id' =&gt; 8002, 'genre_id' =&gt; 8100, 'score' =&gt; 0],</v>
      </c>
      <c r="AD38" t="str">
        <f t="shared" si="9"/>
        <v>['question_id' =&gt; 800, 'option_id' =&gt; 8002, 'genre_id' =&gt; 8110, 'score' =&gt; 0],</v>
      </c>
      <c r="AE38" t="str">
        <f t="shared" si="10"/>
        <v>['question_id' =&gt; 800, 'option_id' =&gt; 8002, 'genre_id' =&gt; 8120, 'score' =&gt; 0],</v>
      </c>
      <c r="AF38" t="str">
        <f t="shared" si="11"/>
        <v>['question_id' =&gt; 800, 'option_id' =&gt; 8002, 'genre_id' =&gt; 8130, 'score' =&gt; 0],</v>
      </c>
      <c r="AG38" t="str">
        <f t="shared" si="12"/>
        <v>['question_id' =&gt; 800, 'option_id' =&gt; 8002, 'genre_id' =&gt; 8140, 'score' =&gt; 0],</v>
      </c>
      <c r="AH38" t="str">
        <f t="shared" si="13"/>
        <v>['question_id' =&gt; 800, 'option_id' =&gt; 8002, 'genre_id' =&gt; 8150, 'score' =&gt; 0],</v>
      </c>
    </row>
    <row r="39" spans="1:34">
      <c r="A39" s="23"/>
      <c r="B39" s="20">
        <v>800</v>
      </c>
      <c r="C39" s="3">
        <v>8003</v>
      </c>
      <c r="D39" s="21">
        <v>50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50</v>
      </c>
      <c r="R39" s="21">
        <v>50</v>
      </c>
      <c r="T39" t="str">
        <f t="shared" si="14"/>
        <v>['question_id' =&gt; 800, 'option_id' =&gt; 8003, 'genre_id' =&gt; 8010, 'score' =&gt; 50],</v>
      </c>
      <c r="U39" t="str">
        <f t="shared" si="0"/>
        <v>['question_id' =&gt; 800, 'option_id' =&gt; 8003, 'genre_id' =&gt; 8020, 'score' =&gt; 0],</v>
      </c>
      <c r="V39" t="str">
        <f t="shared" si="1"/>
        <v>['question_id' =&gt; 800, 'option_id' =&gt; 8003, 'genre_id' =&gt; 8030, 'score' =&gt; 0],</v>
      </c>
      <c r="W39" t="str">
        <f t="shared" si="2"/>
        <v>['question_id' =&gt; 800, 'option_id' =&gt; 8003, 'genre_id' =&gt; 8040, 'score' =&gt; 0],</v>
      </c>
      <c r="X39" t="str">
        <f t="shared" si="3"/>
        <v>['question_id' =&gt; 800, 'option_id' =&gt; 8003, 'genre_id' =&gt; 8050, 'score' =&gt; 0],</v>
      </c>
      <c r="Y39" t="str">
        <f t="shared" si="4"/>
        <v>['question_id' =&gt; 800, 'option_id' =&gt; 8003, 'genre_id' =&gt; 8060, 'score' =&gt; 0],</v>
      </c>
      <c r="Z39" t="str">
        <f t="shared" si="5"/>
        <v>['question_id' =&gt; 800, 'option_id' =&gt; 8003, 'genre_id' =&gt; 8070, 'score' =&gt; 0],</v>
      </c>
      <c r="AA39" t="str">
        <f t="shared" si="6"/>
        <v>['question_id' =&gt; 800, 'option_id' =&gt; 8003, 'genre_id' =&gt; 8080, 'score' =&gt; 0],</v>
      </c>
      <c r="AB39" t="str">
        <f t="shared" si="7"/>
        <v>['question_id' =&gt; 800, 'option_id' =&gt; 8003, 'genre_id' =&gt; 8090, 'score' =&gt; 0],</v>
      </c>
      <c r="AC39" t="str">
        <f t="shared" si="8"/>
        <v>['question_id' =&gt; 800, 'option_id' =&gt; 8003, 'genre_id' =&gt; 8100, 'score' =&gt; 0],</v>
      </c>
      <c r="AD39" t="str">
        <f t="shared" si="9"/>
        <v>['question_id' =&gt; 800, 'option_id' =&gt; 8003, 'genre_id' =&gt; 8110, 'score' =&gt; 0],</v>
      </c>
      <c r="AE39" t="str">
        <f t="shared" si="10"/>
        <v>['question_id' =&gt; 800, 'option_id' =&gt; 8003, 'genre_id' =&gt; 8120, 'score' =&gt; 0],</v>
      </c>
      <c r="AF39" t="str">
        <f t="shared" si="11"/>
        <v>['question_id' =&gt; 800, 'option_id' =&gt; 8003, 'genre_id' =&gt; 8130, 'score' =&gt; 0],</v>
      </c>
      <c r="AG39" t="str">
        <f t="shared" si="12"/>
        <v>['question_id' =&gt; 800, 'option_id' =&gt; 8003, 'genre_id' =&gt; 8140, 'score' =&gt; 50],</v>
      </c>
      <c r="AH39" t="str">
        <f t="shared" si="13"/>
        <v>['question_id' =&gt; 800, 'option_id' =&gt; 8003, 'genre_id' =&gt; 8150, 'score' =&gt; 50],</v>
      </c>
    </row>
    <row r="40" spans="1:34">
      <c r="A40" s="24"/>
      <c r="B40" s="18">
        <v>900</v>
      </c>
      <c r="C40" s="3">
        <v>9001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T40" t="str">
        <f t="shared" si="14"/>
        <v>['question_id' =&gt; 900, 'option_id' =&gt; 9001, 'genre_id' =&gt; 8010, 'score' =&gt; 0],</v>
      </c>
      <c r="U40" t="str">
        <f t="shared" si="0"/>
        <v>['question_id' =&gt; 900, 'option_id' =&gt; 9001, 'genre_id' =&gt; 8020, 'score' =&gt; 0],</v>
      </c>
      <c r="V40" t="str">
        <f t="shared" si="1"/>
        <v>['question_id' =&gt; 900, 'option_id' =&gt; 9001, 'genre_id' =&gt; 8030, 'score' =&gt; 0],</v>
      </c>
      <c r="W40" t="str">
        <f t="shared" si="2"/>
        <v>['question_id' =&gt; 900, 'option_id' =&gt; 9001, 'genre_id' =&gt; 8040, 'score' =&gt; 0],</v>
      </c>
      <c r="X40" t="str">
        <f t="shared" si="3"/>
        <v>['question_id' =&gt; 900, 'option_id' =&gt; 9001, 'genre_id' =&gt; 8050, 'score' =&gt; 0],</v>
      </c>
      <c r="Y40" t="str">
        <f t="shared" si="4"/>
        <v>['question_id' =&gt; 900, 'option_id' =&gt; 9001, 'genre_id' =&gt; 8060, 'score' =&gt; 0],</v>
      </c>
      <c r="Z40" t="str">
        <f t="shared" si="5"/>
        <v>['question_id' =&gt; 900, 'option_id' =&gt; 9001, 'genre_id' =&gt; 8070, 'score' =&gt; 0],</v>
      </c>
      <c r="AA40" t="str">
        <f t="shared" si="6"/>
        <v>['question_id' =&gt; 900, 'option_id' =&gt; 9001, 'genre_id' =&gt; 8080, 'score' =&gt; 0],</v>
      </c>
      <c r="AB40" t="str">
        <f t="shared" si="7"/>
        <v>['question_id' =&gt; 900, 'option_id' =&gt; 9001, 'genre_id' =&gt; 8090, 'score' =&gt; 0],</v>
      </c>
      <c r="AC40" t="str">
        <f t="shared" si="8"/>
        <v>['question_id' =&gt; 900, 'option_id' =&gt; 9001, 'genre_id' =&gt; 8100, 'score' =&gt; 0],</v>
      </c>
      <c r="AD40" t="str">
        <f t="shared" si="9"/>
        <v>['question_id' =&gt; 900, 'option_id' =&gt; 9001, 'genre_id' =&gt; 8110, 'score' =&gt; 0],</v>
      </c>
      <c r="AE40" t="str">
        <f t="shared" si="10"/>
        <v>['question_id' =&gt; 900, 'option_id' =&gt; 9001, 'genre_id' =&gt; 8120, 'score' =&gt; 0],</v>
      </c>
      <c r="AF40" t="str">
        <f t="shared" si="11"/>
        <v>['question_id' =&gt; 900, 'option_id' =&gt; 9001, 'genre_id' =&gt; 8130, 'score' =&gt; 0],</v>
      </c>
      <c r="AG40" t="str">
        <f t="shared" si="12"/>
        <v>['question_id' =&gt; 900, 'option_id' =&gt; 9001, 'genre_id' =&gt; 8140, 'score' =&gt; 0],</v>
      </c>
      <c r="AH40" t="str">
        <f t="shared" si="13"/>
        <v>['question_id' =&gt; 900, 'option_id' =&gt; 9001, 'genre_id' =&gt; 8150, 'score' =&gt; 0],</v>
      </c>
    </row>
    <row r="41" spans="1:34">
      <c r="A41" s="24"/>
      <c r="B41" s="18">
        <v>900</v>
      </c>
      <c r="C41" s="3">
        <v>9002</v>
      </c>
      <c r="D41" s="19">
        <v>30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30</v>
      </c>
      <c r="Q41" s="19">
        <v>0</v>
      </c>
      <c r="R41" s="19">
        <v>0</v>
      </c>
      <c r="T41" t="str">
        <f t="shared" si="14"/>
        <v>['question_id' =&gt; 900, 'option_id' =&gt; 9002, 'genre_id' =&gt; 8010, 'score' =&gt; 30],</v>
      </c>
      <c r="U41" t="str">
        <f t="shared" si="0"/>
        <v>['question_id' =&gt; 900, 'option_id' =&gt; 9002, 'genre_id' =&gt; 8020, 'score' =&gt; 0],</v>
      </c>
      <c r="V41" t="str">
        <f t="shared" si="1"/>
        <v>['question_id' =&gt; 900, 'option_id' =&gt; 9002, 'genre_id' =&gt; 8030, 'score' =&gt; 0],</v>
      </c>
      <c r="W41" t="str">
        <f t="shared" si="2"/>
        <v>['question_id' =&gt; 900, 'option_id' =&gt; 9002, 'genre_id' =&gt; 8040, 'score' =&gt; 0],</v>
      </c>
      <c r="X41" t="str">
        <f t="shared" si="3"/>
        <v>['question_id' =&gt; 900, 'option_id' =&gt; 9002, 'genre_id' =&gt; 8050, 'score' =&gt; 0],</v>
      </c>
      <c r="Y41" t="str">
        <f t="shared" si="4"/>
        <v>['question_id' =&gt; 900, 'option_id' =&gt; 9002, 'genre_id' =&gt; 8060, 'score' =&gt; 0],</v>
      </c>
      <c r="Z41" t="str">
        <f t="shared" si="5"/>
        <v>['question_id' =&gt; 900, 'option_id' =&gt; 9002, 'genre_id' =&gt; 8070, 'score' =&gt; 0],</v>
      </c>
      <c r="AA41" t="str">
        <f t="shared" si="6"/>
        <v>['question_id' =&gt; 900, 'option_id' =&gt; 9002, 'genre_id' =&gt; 8080, 'score' =&gt; 0],</v>
      </c>
      <c r="AB41" t="str">
        <f t="shared" si="7"/>
        <v>['question_id' =&gt; 900, 'option_id' =&gt; 9002, 'genre_id' =&gt; 8090, 'score' =&gt; 0],</v>
      </c>
      <c r="AC41" t="str">
        <f t="shared" si="8"/>
        <v>['question_id' =&gt; 900, 'option_id' =&gt; 9002, 'genre_id' =&gt; 8100, 'score' =&gt; 0],</v>
      </c>
      <c r="AD41" t="str">
        <f t="shared" si="9"/>
        <v>['question_id' =&gt; 900, 'option_id' =&gt; 9002, 'genre_id' =&gt; 8110, 'score' =&gt; 0],</v>
      </c>
      <c r="AE41" t="str">
        <f t="shared" si="10"/>
        <v>['question_id' =&gt; 900, 'option_id' =&gt; 9002, 'genre_id' =&gt; 8120, 'score' =&gt; 0],</v>
      </c>
      <c r="AF41" t="str">
        <f t="shared" si="11"/>
        <v>['question_id' =&gt; 900, 'option_id' =&gt; 9002, 'genre_id' =&gt; 8130, 'score' =&gt; 30],</v>
      </c>
      <c r="AG41" t="str">
        <f t="shared" si="12"/>
        <v>['question_id' =&gt; 900, 'option_id' =&gt; 9002, 'genre_id' =&gt; 8140, 'score' =&gt; 0],</v>
      </c>
      <c r="AH41" t="str">
        <f t="shared" si="13"/>
        <v>['question_id' =&gt; 900, 'option_id' =&gt; 9002, 'genre_id' =&gt; 8150, 'score' =&gt; 0],</v>
      </c>
    </row>
    <row r="42" spans="1:34">
      <c r="A42" s="24"/>
      <c r="B42" s="18">
        <v>900</v>
      </c>
      <c r="C42" s="3">
        <v>9003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50</v>
      </c>
      <c r="K42" s="19">
        <v>50</v>
      </c>
      <c r="L42" s="19">
        <v>0</v>
      </c>
      <c r="M42" s="19">
        <v>0</v>
      </c>
      <c r="N42" s="19">
        <v>50</v>
      </c>
      <c r="O42" s="19">
        <v>0</v>
      </c>
      <c r="P42" s="19">
        <v>0</v>
      </c>
      <c r="Q42" s="19">
        <v>50</v>
      </c>
      <c r="R42" s="19">
        <v>0</v>
      </c>
      <c r="T42" t="str">
        <f t="shared" si="14"/>
        <v>['question_id' =&gt; 900, 'option_id' =&gt; 9003, 'genre_id' =&gt; 8010, 'score' =&gt; 0],</v>
      </c>
      <c r="U42" t="str">
        <f t="shared" si="0"/>
        <v>['question_id' =&gt; 900, 'option_id' =&gt; 9003, 'genre_id' =&gt; 8020, 'score' =&gt; 0],</v>
      </c>
      <c r="V42" t="str">
        <f t="shared" si="1"/>
        <v>['question_id' =&gt; 900, 'option_id' =&gt; 9003, 'genre_id' =&gt; 8030, 'score' =&gt; 0],</v>
      </c>
      <c r="W42" t="str">
        <f t="shared" si="2"/>
        <v>['question_id' =&gt; 900, 'option_id' =&gt; 9003, 'genre_id' =&gt; 8040, 'score' =&gt; 0],</v>
      </c>
      <c r="X42" t="str">
        <f t="shared" si="3"/>
        <v>['question_id' =&gt; 900, 'option_id' =&gt; 9003, 'genre_id' =&gt; 8050, 'score' =&gt; 0],</v>
      </c>
      <c r="Y42" t="str">
        <f t="shared" si="4"/>
        <v>['question_id' =&gt; 900, 'option_id' =&gt; 9003, 'genre_id' =&gt; 8060, 'score' =&gt; 0],</v>
      </c>
      <c r="Z42" t="str">
        <f t="shared" si="5"/>
        <v>['question_id' =&gt; 900, 'option_id' =&gt; 9003, 'genre_id' =&gt; 8070, 'score' =&gt; 50],</v>
      </c>
      <c r="AA42" t="str">
        <f t="shared" si="6"/>
        <v>['question_id' =&gt; 900, 'option_id' =&gt; 9003, 'genre_id' =&gt; 8080, 'score' =&gt; 50],</v>
      </c>
      <c r="AB42" t="str">
        <f t="shared" si="7"/>
        <v>['question_id' =&gt; 900, 'option_id' =&gt; 9003, 'genre_id' =&gt; 8090, 'score' =&gt; 0],</v>
      </c>
      <c r="AC42" t="str">
        <f t="shared" si="8"/>
        <v>['question_id' =&gt; 900, 'option_id' =&gt; 9003, 'genre_id' =&gt; 8100, 'score' =&gt; 0],</v>
      </c>
      <c r="AD42" t="str">
        <f t="shared" si="9"/>
        <v>['question_id' =&gt; 900, 'option_id' =&gt; 9003, 'genre_id' =&gt; 8110, 'score' =&gt; 50],</v>
      </c>
      <c r="AE42" t="str">
        <f t="shared" si="10"/>
        <v>['question_id' =&gt; 900, 'option_id' =&gt; 9003, 'genre_id' =&gt; 8120, 'score' =&gt; 0],</v>
      </c>
      <c r="AF42" t="str">
        <f t="shared" si="11"/>
        <v>['question_id' =&gt; 900, 'option_id' =&gt; 9003, 'genre_id' =&gt; 8130, 'score' =&gt; 0],</v>
      </c>
      <c r="AG42" t="str">
        <f t="shared" si="12"/>
        <v>['question_id' =&gt; 900, 'option_id' =&gt; 9003, 'genre_id' =&gt; 8140, 'score' =&gt; 50],</v>
      </c>
      <c r="AH42" t="str">
        <f t="shared" si="13"/>
        <v>['question_id' =&gt; 900, 'option_id' =&gt; 9003, 'genre_id' =&gt; 8150, 'score' =&gt; 0],</v>
      </c>
    </row>
    <row r="43" spans="1:34">
      <c r="A43" s="25"/>
      <c r="B43" s="16">
        <v>1000</v>
      </c>
      <c r="C43" s="3">
        <v>10001</v>
      </c>
      <c r="D43" s="17">
        <v>50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50</v>
      </c>
      <c r="R43" s="17">
        <v>50</v>
      </c>
      <c r="T43" t="str">
        <f t="shared" si="14"/>
        <v>['question_id' =&gt; 1000, 'option_id' =&gt; 10001, 'genre_id' =&gt; 8010, 'score' =&gt; 50],</v>
      </c>
      <c r="U43" t="str">
        <f t="shared" si="0"/>
        <v>['question_id' =&gt; 1000, 'option_id' =&gt; 10001, 'genre_id' =&gt; 8020, 'score' =&gt; 0],</v>
      </c>
      <c r="V43" t="str">
        <f t="shared" si="1"/>
        <v>['question_id' =&gt; 1000, 'option_id' =&gt; 10001, 'genre_id' =&gt; 8030, 'score' =&gt; 0],</v>
      </c>
      <c r="W43" t="str">
        <f t="shared" si="2"/>
        <v>['question_id' =&gt; 1000, 'option_id' =&gt; 10001, 'genre_id' =&gt; 8040, 'score' =&gt; 0],</v>
      </c>
      <c r="X43" t="str">
        <f t="shared" si="3"/>
        <v>['question_id' =&gt; 1000, 'option_id' =&gt; 10001, 'genre_id' =&gt; 8050, 'score' =&gt; 0],</v>
      </c>
      <c r="Y43" t="str">
        <f t="shared" si="4"/>
        <v>['question_id' =&gt; 1000, 'option_id' =&gt; 10001, 'genre_id' =&gt; 8060, 'score' =&gt; 0],</v>
      </c>
      <c r="Z43" t="str">
        <f t="shared" si="5"/>
        <v>['question_id' =&gt; 1000, 'option_id' =&gt; 10001, 'genre_id' =&gt; 8070, 'score' =&gt; 0],</v>
      </c>
      <c r="AA43" t="str">
        <f t="shared" si="6"/>
        <v>['question_id' =&gt; 1000, 'option_id' =&gt; 10001, 'genre_id' =&gt; 8080, 'score' =&gt; 0],</v>
      </c>
      <c r="AB43" t="str">
        <f t="shared" si="7"/>
        <v>['question_id' =&gt; 1000, 'option_id' =&gt; 10001, 'genre_id' =&gt; 8090, 'score' =&gt; 0],</v>
      </c>
      <c r="AC43" t="str">
        <f t="shared" si="8"/>
        <v>['question_id' =&gt; 1000, 'option_id' =&gt; 10001, 'genre_id' =&gt; 8100, 'score' =&gt; 0],</v>
      </c>
      <c r="AD43" t="str">
        <f t="shared" si="9"/>
        <v>['question_id' =&gt; 1000, 'option_id' =&gt; 10001, 'genre_id' =&gt; 8110, 'score' =&gt; 0],</v>
      </c>
      <c r="AE43" t="str">
        <f t="shared" si="10"/>
        <v>['question_id' =&gt; 1000, 'option_id' =&gt; 10001, 'genre_id' =&gt; 8120, 'score' =&gt; 0],</v>
      </c>
      <c r="AF43" t="str">
        <f t="shared" si="11"/>
        <v>['question_id' =&gt; 1000, 'option_id' =&gt; 10001, 'genre_id' =&gt; 8130, 'score' =&gt; 0],</v>
      </c>
      <c r="AG43" t="str">
        <f t="shared" si="12"/>
        <v>['question_id' =&gt; 1000, 'option_id' =&gt; 10001, 'genre_id' =&gt; 8140, 'score' =&gt; 50],</v>
      </c>
      <c r="AH43" t="str">
        <f t="shared" si="13"/>
        <v>['question_id' =&gt; 1000, 'option_id' =&gt; 10001, 'genre_id' =&gt; 8150, 'score' =&gt; 50],</v>
      </c>
    </row>
    <row r="44" spans="1:34">
      <c r="A44" s="25"/>
      <c r="B44" s="16">
        <v>1000</v>
      </c>
      <c r="C44" s="3">
        <v>10002</v>
      </c>
      <c r="D44" s="17">
        <v>50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50</v>
      </c>
      <c r="R44" s="17">
        <v>50</v>
      </c>
      <c r="T44" t="str">
        <f t="shared" si="14"/>
        <v>['question_id' =&gt; 1000, 'option_id' =&gt; 10002, 'genre_id' =&gt; 8010, 'score' =&gt; 50],</v>
      </c>
      <c r="U44" t="str">
        <f t="shared" si="0"/>
        <v>['question_id' =&gt; 1000, 'option_id' =&gt; 10002, 'genre_id' =&gt; 8020, 'score' =&gt; 0],</v>
      </c>
      <c r="V44" t="str">
        <f t="shared" si="1"/>
        <v>['question_id' =&gt; 1000, 'option_id' =&gt; 10002, 'genre_id' =&gt; 8030, 'score' =&gt; 0],</v>
      </c>
      <c r="W44" t="str">
        <f t="shared" si="2"/>
        <v>['question_id' =&gt; 1000, 'option_id' =&gt; 10002, 'genre_id' =&gt; 8040, 'score' =&gt; 0],</v>
      </c>
      <c r="X44" t="str">
        <f t="shared" si="3"/>
        <v>['question_id' =&gt; 1000, 'option_id' =&gt; 10002, 'genre_id' =&gt; 8050, 'score' =&gt; 0],</v>
      </c>
      <c r="Y44" t="str">
        <f t="shared" si="4"/>
        <v>['question_id' =&gt; 1000, 'option_id' =&gt; 10002, 'genre_id' =&gt; 8060, 'score' =&gt; 0],</v>
      </c>
      <c r="Z44" t="str">
        <f t="shared" si="5"/>
        <v>['question_id' =&gt; 1000, 'option_id' =&gt; 10002, 'genre_id' =&gt; 8070, 'score' =&gt; 0],</v>
      </c>
      <c r="AA44" t="str">
        <f t="shared" si="6"/>
        <v>['question_id' =&gt; 1000, 'option_id' =&gt; 10002, 'genre_id' =&gt; 8080, 'score' =&gt; 0],</v>
      </c>
      <c r="AB44" t="str">
        <f t="shared" si="7"/>
        <v>['question_id' =&gt; 1000, 'option_id' =&gt; 10002, 'genre_id' =&gt; 8090, 'score' =&gt; 0],</v>
      </c>
      <c r="AC44" t="str">
        <f t="shared" si="8"/>
        <v>['question_id' =&gt; 1000, 'option_id' =&gt; 10002, 'genre_id' =&gt; 8100, 'score' =&gt; 0],</v>
      </c>
      <c r="AD44" t="str">
        <f t="shared" si="9"/>
        <v>['question_id' =&gt; 1000, 'option_id' =&gt; 10002, 'genre_id' =&gt; 8110, 'score' =&gt; 0],</v>
      </c>
      <c r="AE44" t="str">
        <f t="shared" si="10"/>
        <v>['question_id' =&gt; 1000, 'option_id' =&gt; 10002, 'genre_id' =&gt; 8120, 'score' =&gt; 0],</v>
      </c>
      <c r="AF44" t="str">
        <f t="shared" si="11"/>
        <v>['question_id' =&gt; 1000, 'option_id' =&gt; 10002, 'genre_id' =&gt; 8130, 'score' =&gt; 0],</v>
      </c>
      <c r="AG44" t="str">
        <f t="shared" si="12"/>
        <v>['question_id' =&gt; 1000, 'option_id' =&gt; 10002, 'genre_id' =&gt; 8140, 'score' =&gt; 50],</v>
      </c>
      <c r="AH44" t="str">
        <f t="shared" si="13"/>
        <v>['question_id' =&gt; 1000, 'option_id' =&gt; 10002, 'genre_id' =&gt; 8150, 'score' =&gt; 50],</v>
      </c>
    </row>
    <row r="45" spans="1:34">
      <c r="A45" s="25"/>
      <c r="B45" s="16">
        <v>1000</v>
      </c>
      <c r="C45" s="3">
        <v>10003</v>
      </c>
      <c r="D45" s="17">
        <v>30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30</v>
      </c>
      <c r="O45" s="17">
        <v>30</v>
      </c>
      <c r="P45" s="17">
        <v>30</v>
      </c>
      <c r="Q45" s="17">
        <v>0</v>
      </c>
      <c r="R45" s="17">
        <v>0</v>
      </c>
      <c r="T45" t="str">
        <f t="shared" si="14"/>
        <v>['question_id' =&gt; 1000, 'option_id' =&gt; 10003, 'genre_id' =&gt; 8010, 'score' =&gt; 30],</v>
      </c>
      <c r="U45" t="str">
        <f t="shared" si="0"/>
        <v>['question_id' =&gt; 1000, 'option_id' =&gt; 10003, 'genre_id' =&gt; 8020, 'score' =&gt; 0],</v>
      </c>
      <c r="V45" t="str">
        <f t="shared" si="1"/>
        <v>['question_id' =&gt; 1000, 'option_id' =&gt; 10003, 'genre_id' =&gt; 8030, 'score' =&gt; 0],</v>
      </c>
      <c r="W45" t="str">
        <f t="shared" si="2"/>
        <v>['question_id' =&gt; 1000, 'option_id' =&gt; 10003, 'genre_id' =&gt; 8040, 'score' =&gt; 0],</v>
      </c>
      <c r="X45" t="str">
        <f t="shared" si="3"/>
        <v>['question_id' =&gt; 1000, 'option_id' =&gt; 10003, 'genre_id' =&gt; 8050, 'score' =&gt; 0],</v>
      </c>
      <c r="Y45" t="str">
        <f t="shared" si="4"/>
        <v>['question_id' =&gt; 1000, 'option_id' =&gt; 10003, 'genre_id' =&gt; 8060, 'score' =&gt; 0],</v>
      </c>
      <c r="Z45" t="str">
        <f t="shared" si="5"/>
        <v>['question_id' =&gt; 1000, 'option_id' =&gt; 10003, 'genre_id' =&gt; 8070, 'score' =&gt; 0],</v>
      </c>
      <c r="AA45" t="str">
        <f t="shared" si="6"/>
        <v>['question_id' =&gt; 1000, 'option_id' =&gt; 10003, 'genre_id' =&gt; 8080, 'score' =&gt; 0],</v>
      </c>
      <c r="AB45" t="str">
        <f t="shared" si="7"/>
        <v>['question_id' =&gt; 1000, 'option_id' =&gt; 10003, 'genre_id' =&gt; 8090, 'score' =&gt; 0],</v>
      </c>
      <c r="AC45" t="str">
        <f t="shared" si="8"/>
        <v>['question_id' =&gt; 1000, 'option_id' =&gt; 10003, 'genre_id' =&gt; 8100, 'score' =&gt; 0],</v>
      </c>
      <c r="AD45" t="str">
        <f t="shared" si="9"/>
        <v>['question_id' =&gt; 1000, 'option_id' =&gt; 10003, 'genre_id' =&gt; 8110, 'score' =&gt; 30],</v>
      </c>
      <c r="AE45" t="str">
        <f t="shared" si="10"/>
        <v>['question_id' =&gt; 1000, 'option_id' =&gt; 10003, 'genre_id' =&gt; 8120, 'score' =&gt; 30],</v>
      </c>
      <c r="AF45" t="str">
        <f t="shared" si="11"/>
        <v>['question_id' =&gt; 1000, 'option_id' =&gt; 10003, 'genre_id' =&gt; 8130, 'score' =&gt; 30],</v>
      </c>
      <c r="AG45" t="str">
        <f t="shared" si="12"/>
        <v>['question_id' =&gt; 1000, 'option_id' =&gt; 10003, 'genre_id' =&gt; 8140, 'score' =&gt; 0],</v>
      </c>
      <c r="AH45" t="str">
        <f t="shared" si="13"/>
        <v>['question_id' =&gt; 1000, 'option_id' =&gt; 10003, 'genre_id' =&gt; 8150, 'score' =&gt; 0],</v>
      </c>
    </row>
    <row r="46" spans="1:34">
      <c r="A46" s="25"/>
      <c r="B46" s="16">
        <v>1000</v>
      </c>
      <c r="C46" s="3">
        <v>10004</v>
      </c>
      <c r="D46" s="17">
        <v>30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30</v>
      </c>
      <c r="O46" s="17">
        <v>30</v>
      </c>
      <c r="P46" s="17">
        <v>30</v>
      </c>
      <c r="Q46" s="17">
        <v>0</v>
      </c>
      <c r="R46" s="17">
        <v>0</v>
      </c>
      <c r="T46" t="str">
        <f t="shared" si="14"/>
        <v>['question_id' =&gt; 1000, 'option_id' =&gt; 10004, 'genre_id' =&gt; 8010, 'score' =&gt; 30],</v>
      </c>
      <c r="U46" t="str">
        <f t="shared" si="0"/>
        <v>['question_id' =&gt; 1000, 'option_id' =&gt; 10004, 'genre_id' =&gt; 8020, 'score' =&gt; 0],</v>
      </c>
      <c r="V46" t="str">
        <f t="shared" si="1"/>
        <v>['question_id' =&gt; 1000, 'option_id' =&gt; 10004, 'genre_id' =&gt; 8030, 'score' =&gt; 0],</v>
      </c>
      <c r="W46" t="str">
        <f t="shared" si="2"/>
        <v>['question_id' =&gt; 1000, 'option_id' =&gt; 10004, 'genre_id' =&gt; 8040, 'score' =&gt; 0],</v>
      </c>
      <c r="X46" t="str">
        <f t="shared" si="3"/>
        <v>['question_id' =&gt; 1000, 'option_id' =&gt; 10004, 'genre_id' =&gt; 8050, 'score' =&gt; 0],</v>
      </c>
      <c r="Y46" t="str">
        <f t="shared" si="4"/>
        <v>['question_id' =&gt; 1000, 'option_id' =&gt; 10004, 'genre_id' =&gt; 8060, 'score' =&gt; 0],</v>
      </c>
      <c r="Z46" t="str">
        <f t="shared" si="5"/>
        <v>['question_id' =&gt; 1000, 'option_id' =&gt; 10004, 'genre_id' =&gt; 8070, 'score' =&gt; 0],</v>
      </c>
      <c r="AA46" t="str">
        <f t="shared" si="6"/>
        <v>['question_id' =&gt; 1000, 'option_id' =&gt; 10004, 'genre_id' =&gt; 8080, 'score' =&gt; 0],</v>
      </c>
      <c r="AB46" t="str">
        <f t="shared" si="7"/>
        <v>['question_id' =&gt; 1000, 'option_id' =&gt; 10004, 'genre_id' =&gt; 8090, 'score' =&gt; 0],</v>
      </c>
      <c r="AC46" t="str">
        <f t="shared" si="8"/>
        <v>['question_id' =&gt; 1000, 'option_id' =&gt; 10004, 'genre_id' =&gt; 8100, 'score' =&gt; 0],</v>
      </c>
      <c r="AD46" t="str">
        <f t="shared" si="9"/>
        <v>['question_id' =&gt; 1000, 'option_id' =&gt; 10004, 'genre_id' =&gt; 8110, 'score' =&gt; 30],</v>
      </c>
      <c r="AE46" t="str">
        <f t="shared" si="10"/>
        <v>['question_id' =&gt; 1000, 'option_id' =&gt; 10004, 'genre_id' =&gt; 8120, 'score' =&gt; 30],</v>
      </c>
      <c r="AF46" t="str">
        <f t="shared" si="11"/>
        <v>['question_id' =&gt; 1000, 'option_id' =&gt; 10004, 'genre_id' =&gt; 8130, 'score' =&gt; 30],</v>
      </c>
      <c r="AG46" t="str">
        <f t="shared" si="12"/>
        <v>['question_id' =&gt; 1000, 'option_id' =&gt; 10004, 'genre_id' =&gt; 8140, 'score' =&gt; 0],</v>
      </c>
      <c r="AH46" t="str">
        <f t="shared" si="13"/>
        <v>['question_id' =&gt; 1000, 'option_id' =&gt; 10004, 'genre_id' =&gt; 8150, 'score' =&gt; 0],</v>
      </c>
    </row>
    <row r="47" spans="1:34">
      <c r="A47" s="25"/>
      <c r="B47" s="16">
        <v>1000</v>
      </c>
      <c r="C47" s="3">
        <v>10005</v>
      </c>
      <c r="D47" s="17">
        <v>0</v>
      </c>
      <c r="E47" s="17">
        <v>40</v>
      </c>
      <c r="F47" s="17">
        <v>0</v>
      </c>
      <c r="G47" s="17">
        <v>0</v>
      </c>
      <c r="H47" s="17">
        <v>0</v>
      </c>
      <c r="I47" s="17">
        <v>0</v>
      </c>
      <c r="J47" s="17">
        <v>40</v>
      </c>
      <c r="K47" s="17">
        <v>40</v>
      </c>
      <c r="L47" s="17">
        <v>0</v>
      </c>
      <c r="M47" s="17">
        <v>0</v>
      </c>
      <c r="N47" s="17">
        <v>40</v>
      </c>
      <c r="O47" s="17">
        <v>0</v>
      </c>
      <c r="P47" s="17">
        <v>0</v>
      </c>
      <c r="Q47" s="17">
        <v>0</v>
      </c>
      <c r="R47" s="17">
        <v>0</v>
      </c>
      <c r="T47" t="str">
        <f t="shared" si="14"/>
        <v>['question_id' =&gt; 1000, 'option_id' =&gt; 10005, 'genre_id' =&gt; 8010, 'score' =&gt; 0],</v>
      </c>
      <c r="U47" t="str">
        <f t="shared" si="0"/>
        <v>['question_id' =&gt; 1000, 'option_id' =&gt; 10005, 'genre_id' =&gt; 8020, 'score' =&gt; 40],</v>
      </c>
      <c r="V47" t="str">
        <f t="shared" si="1"/>
        <v>['question_id' =&gt; 1000, 'option_id' =&gt; 10005, 'genre_id' =&gt; 8030, 'score' =&gt; 0],</v>
      </c>
      <c r="W47" t="str">
        <f t="shared" si="2"/>
        <v>['question_id' =&gt; 1000, 'option_id' =&gt; 10005, 'genre_id' =&gt; 8040, 'score' =&gt; 0],</v>
      </c>
      <c r="X47" t="str">
        <f t="shared" si="3"/>
        <v>['question_id' =&gt; 1000, 'option_id' =&gt; 10005, 'genre_id' =&gt; 8050, 'score' =&gt; 0],</v>
      </c>
      <c r="Y47" t="str">
        <f t="shared" si="4"/>
        <v>['question_id' =&gt; 1000, 'option_id' =&gt; 10005, 'genre_id' =&gt; 8060, 'score' =&gt; 0],</v>
      </c>
      <c r="Z47" t="str">
        <f t="shared" si="5"/>
        <v>['question_id' =&gt; 1000, 'option_id' =&gt; 10005, 'genre_id' =&gt; 8070, 'score' =&gt; 40],</v>
      </c>
      <c r="AA47" t="str">
        <f t="shared" si="6"/>
        <v>['question_id' =&gt; 1000, 'option_id' =&gt; 10005, 'genre_id' =&gt; 8080, 'score' =&gt; 40],</v>
      </c>
      <c r="AB47" t="str">
        <f t="shared" si="7"/>
        <v>['question_id' =&gt; 1000, 'option_id' =&gt; 10005, 'genre_id' =&gt; 8090, 'score' =&gt; 0],</v>
      </c>
      <c r="AC47" t="str">
        <f t="shared" si="8"/>
        <v>['question_id' =&gt; 1000, 'option_id' =&gt; 10005, 'genre_id' =&gt; 8100, 'score' =&gt; 0],</v>
      </c>
      <c r="AD47" t="str">
        <f t="shared" si="9"/>
        <v>['question_id' =&gt; 1000, 'option_id' =&gt; 10005, 'genre_id' =&gt; 8110, 'score' =&gt; 40],</v>
      </c>
      <c r="AE47" t="str">
        <f t="shared" si="10"/>
        <v>['question_id' =&gt; 1000, 'option_id' =&gt; 10005, 'genre_id' =&gt; 8120, 'score' =&gt; 0],</v>
      </c>
      <c r="AF47" t="str">
        <f t="shared" si="11"/>
        <v>['question_id' =&gt; 1000, 'option_id' =&gt; 10005, 'genre_id' =&gt; 8130, 'score' =&gt; 0],</v>
      </c>
      <c r="AG47" t="str">
        <f t="shared" si="12"/>
        <v>['question_id' =&gt; 1000, 'option_id' =&gt; 10005, 'genre_id' =&gt; 8140, 'score' =&gt; 0],</v>
      </c>
      <c r="AH47" t="str">
        <f t="shared" si="13"/>
        <v>['question_id' =&gt; 1000, 'option_id' =&gt; 10005, 'genre_id' =&gt; 8150, 'score' =&gt; 0],</v>
      </c>
    </row>
    <row r="48" spans="1:34">
      <c r="A48" s="26"/>
      <c r="B48" s="14">
        <v>1100</v>
      </c>
      <c r="C48" s="3">
        <v>11001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50</v>
      </c>
      <c r="R48" s="15">
        <v>50</v>
      </c>
      <c r="T48" t="str">
        <f t="shared" si="14"/>
        <v>['question_id' =&gt; 1100, 'option_id' =&gt; 11001, 'genre_id' =&gt; 8010, 'score' =&gt; 0],</v>
      </c>
      <c r="U48" t="str">
        <f t="shared" si="0"/>
        <v>['question_id' =&gt; 1100, 'option_id' =&gt; 11001, 'genre_id' =&gt; 8020, 'score' =&gt; 0],</v>
      </c>
      <c r="V48" t="str">
        <f t="shared" si="1"/>
        <v>['question_id' =&gt; 1100, 'option_id' =&gt; 11001, 'genre_id' =&gt; 8030, 'score' =&gt; 0],</v>
      </c>
      <c r="W48" t="str">
        <f t="shared" si="2"/>
        <v>['question_id' =&gt; 1100, 'option_id' =&gt; 11001, 'genre_id' =&gt; 8040, 'score' =&gt; 0],</v>
      </c>
      <c r="X48" t="str">
        <f t="shared" si="3"/>
        <v>['question_id' =&gt; 1100, 'option_id' =&gt; 11001, 'genre_id' =&gt; 8050, 'score' =&gt; 0],</v>
      </c>
      <c r="Y48" t="str">
        <f t="shared" si="4"/>
        <v>['question_id' =&gt; 1100, 'option_id' =&gt; 11001, 'genre_id' =&gt; 8060, 'score' =&gt; 0],</v>
      </c>
      <c r="Z48" t="str">
        <f t="shared" si="5"/>
        <v>['question_id' =&gt; 1100, 'option_id' =&gt; 11001, 'genre_id' =&gt; 8070, 'score' =&gt; 0],</v>
      </c>
      <c r="AA48" t="str">
        <f t="shared" si="6"/>
        <v>['question_id' =&gt; 1100, 'option_id' =&gt; 11001, 'genre_id' =&gt; 8080, 'score' =&gt; 0],</v>
      </c>
      <c r="AB48" t="str">
        <f t="shared" si="7"/>
        <v>['question_id' =&gt; 1100, 'option_id' =&gt; 11001, 'genre_id' =&gt; 8090, 'score' =&gt; 0],</v>
      </c>
      <c r="AC48" t="str">
        <f t="shared" si="8"/>
        <v>['question_id' =&gt; 1100, 'option_id' =&gt; 11001, 'genre_id' =&gt; 8100, 'score' =&gt; 0],</v>
      </c>
      <c r="AD48" t="str">
        <f t="shared" si="9"/>
        <v>['question_id' =&gt; 1100, 'option_id' =&gt; 11001, 'genre_id' =&gt; 8110, 'score' =&gt; 0],</v>
      </c>
      <c r="AE48" t="str">
        <f t="shared" si="10"/>
        <v>['question_id' =&gt; 1100, 'option_id' =&gt; 11001, 'genre_id' =&gt; 8120, 'score' =&gt; 0],</v>
      </c>
      <c r="AF48" t="str">
        <f t="shared" si="11"/>
        <v>['question_id' =&gt; 1100, 'option_id' =&gt; 11001, 'genre_id' =&gt; 8130, 'score' =&gt; 0],</v>
      </c>
      <c r="AG48" t="str">
        <f t="shared" si="12"/>
        <v>['question_id' =&gt; 1100, 'option_id' =&gt; 11001, 'genre_id' =&gt; 8140, 'score' =&gt; 50],</v>
      </c>
      <c r="AH48" t="str">
        <f t="shared" si="13"/>
        <v>['question_id' =&gt; 1100, 'option_id' =&gt; 11001, 'genre_id' =&gt; 8150, 'score' =&gt; 50],</v>
      </c>
    </row>
    <row r="49" spans="1:34">
      <c r="A49" s="26"/>
      <c r="B49" s="14">
        <v>1100</v>
      </c>
      <c r="C49" s="3">
        <v>11002</v>
      </c>
      <c r="D49" s="15">
        <v>50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50</v>
      </c>
      <c r="R49" s="15">
        <v>50</v>
      </c>
      <c r="T49" t="str">
        <f t="shared" si="14"/>
        <v>['question_id' =&gt; 1100, 'option_id' =&gt; 11002, 'genre_id' =&gt; 8010, 'score' =&gt; 50],</v>
      </c>
      <c r="U49" t="str">
        <f t="shared" si="0"/>
        <v>['question_id' =&gt; 1100, 'option_id' =&gt; 11002, 'genre_id' =&gt; 8020, 'score' =&gt; 0],</v>
      </c>
      <c r="V49" t="str">
        <f t="shared" si="1"/>
        <v>['question_id' =&gt; 1100, 'option_id' =&gt; 11002, 'genre_id' =&gt; 8030, 'score' =&gt; 0],</v>
      </c>
      <c r="W49" t="str">
        <f t="shared" si="2"/>
        <v>['question_id' =&gt; 1100, 'option_id' =&gt; 11002, 'genre_id' =&gt; 8040, 'score' =&gt; 0],</v>
      </c>
      <c r="X49" t="str">
        <f t="shared" si="3"/>
        <v>['question_id' =&gt; 1100, 'option_id' =&gt; 11002, 'genre_id' =&gt; 8050, 'score' =&gt; 0],</v>
      </c>
      <c r="Y49" t="str">
        <f t="shared" si="4"/>
        <v>['question_id' =&gt; 1100, 'option_id' =&gt; 11002, 'genre_id' =&gt; 8060, 'score' =&gt; 0],</v>
      </c>
      <c r="Z49" t="str">
        <f t="shared" si="5"/>
        <v>['question_id' =&gt; 1100, 'option_id' =&gt; 11002, 'genre_id' =&gt; 8070, 'score' =&gt; 0],</v>
      </c>
      <c r="AA49" t="str">
        <f t="shared" si="6"/>
        <v>['question_id' =&gt; 1100, 'option_id' =&gt; 11002, 'genre_id' =&gt; 8080, 'score' =&gt; 0],</v>
      </c>
      <c r="AB49" t="str">
        <f t="shared" si="7"/>
        <v>['question_id' =&gt; 1100, 'option_id' =&gt; 11002, 'genre_id' =&gt; 8090, 'score' =&gt; 0],</v>
      </c>
      <c r="AC49" t="str">
        <f t="shared" si="8"/>
        <v>['question_id' =&gt; 1100, 'option_id' =&gt; 11002, 'genre_id' =&gt; 8100, 'score' =&gt; 0],</v>
      </c>
      <c r="AD49" t="str">
        <f t="shared" si="9"/>
        <v>['question_id' =&gt; 1100, 'option_id' =&gt; 11002, 'genre_id' =&gt; 8110, 'score' =&gt; 0],</v>
      </c>
      <c r="AE49" t="str">
        <f t="shared" si="10"/>
        <v>['question_id' =&gt; 1100, 'option_id' =&gt; 11002, 'genre_id' =&gt; 8120, 'score' =&gt; 0],</v>
      </c>
      <c r="AF49" t="str">
        <f t="shared" si="11"/>
        <v>['question_id' =&gt; 1100, 'option_id' =&gt; 11002, 'genre_id' =&gt; 8130, 'score' =&gt; 0],</v>
      </c>
      <c r="AG49" t="str">
        <f t="shared" si="12"/>
        <v>['question_id' =&gt; 1100, 'option_id' =&gt; 11002, 'genre_id' =&gt; 8140, 'score' =&gt; 50],</v>
      </c>
      <c r="AH49" t="str">
        <f t="shared" si="13"/>
        <v>['question_id' =&gt; 1100, 'option_id' =&gt; 11002, 'genre_id' =&gt; 8150, 'score' =&gt; 50],</v>
      </c>
    </row>
    <row r="50" spans="1:34">
      <c r="A50" s="26"/>
      <c r="B50" s="14">
        <v>1100</v>
      </c>
      <c r="C50" s="3">
        <v>11003</v>
      </c>
      <c r="D50" s="15">
        <v>40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40</v>
      </c>
      <c r="O50" s="15">
        <v>40</v>
      </c>
      <c r="P50" s="15">
        <v>40</v>
      </c>
      <c r="Q50" s="15">
        <v>0</v>
      </c>
      <c r="R50" s="15">
        <v>0</v>
      </c>
      <c r="T50" t="str">
        <f t="shared" si="14"/>
        <v>['question_id' =&gt; 1100, 'option_id' =&gt; 11003, 'genre_id' =&gt; 8010, 'score' =&gt; 40],</v>
      </c>
      <c r="U50" t="str">
        <f t="shared" si="0"/>
        <v>['question_id' =&gt; 1100, 'option_id' =&gt; 11003, 'genre_id' =&gt; 8020, 'score' =&gt; 0],</v>
      </c>
      <c r="V50" t="str">
        <f t="shared" si="1"/>
        <v>['question_id' =&gt; 1100, 'option_id' =&gt; 11003, 'genre_id' =&gt; 8030, 'score' =&gt; 0],</v>
      </c>
      <c r="W50" t="str">
        <f t="shared" si="2"/>
        <v>['question_id' =&gt; 1100, 'option_id' =&gt; 11003, 'genre_id' =&gt; 8040, 'score' =&gt; 0],</v>
      </c>
      <c r="X50" t="str">
        <f t="shared" si="3"/>
        <v>['question_id' =&gt; 1100, 'option_id' =&gt; 11003, 'genre_id' =&gt; 8050, 'score' =&gt; 0],</v>
      </c>
      <c r="Y50" t="str">
        <f t="shared" si="4"/>
        <v>['question_id' =&gt; 1100, 'option_id' =&gt; 11003, 'genre_id' =&gt; 8060, 'score' =&gt; 0],</v>
      </c>
      <c r="Z50" t="str">
        <f t="shared" si="5"/>
        <v>['question_id' =&gt; 1100, 'option_id' =&gt; 11003, 'genre_id' =&gt; 8070, 'score' =&gt; 0],</v>
      </c>
      <c r="AA50" t="str">
        <f t="shared" si="6"/>
        <v>['question_id' =&gt; 1100, 'option_id' =&gt; 11003, 'genre_id' =&gt; 8080, 'score' =&gt; 0],</v>
      </c>
      <c r="AB50" t="str">
        <f t="shared" si="7"/>
        <v>['question_id' =&gt; 1100, 'option_id' =&gt; 11003, 'genre_id' =&gt; 8090, 'score' =&gt; 0],</v>
      </c>
      <c r="AC50" t="str">
        <f t="shared" si="8"/>
        <v>['question_id' =&gt; 1100, 'option_id' =&gt; 11003, 'genre_id' =&gt; 8100, 'score' =&gt; 0],</v>
      </c>
      <c r="AD50" t="str">
        <f t="shared" si="9"/>
        <v>['question_id' =&gt; 1100, 'option_id' =&gt; 11003, 'genre_id' =&gt; 8110, 'score' =&gt; 40],</v>
      </c>
      <c r="AE50" t="str">
        <f t="shared" si="10"/>
        <v>['question_id' =&gt; 1100, 'option_id' =&gt; 11003, 'genre_id' =&gt; 8120, 'score' =&gt; 40],</v>
      </c>
      <c r="AF50" t="str">
        <f t="shared" si="11"/>
        <v>['question_id' =&gt; 1100, 'option_id' =&gt; 11003, 'genre_id' =&gt; 8130, 'score' =&gt; 40],</v>
      </c>
      <c r="AG50" t="str">
        <f t="shared" si="12"/>
        <v>['question_id' =&gt; 1100, 'option_id' =&gt; 11003, 'genre_id' =&gt; 8140, 'score' =&gt; 0],</v>
      </c>
      <c r="AH50" t="str">
        <f t="shared" si="13"/>
        <v>['question_id' =&gt; 1100, 'option_id' =&gt; 11003, 'genre_id' =&gt; 8150, 'score' =&gt; 0],</v>
      </c>
    </row>
    <row r="51" spans="1:34">
      <c r="A51" s="26"/>
      <c r="B51" s="14">
        <v>1100</v>
      </c>
      <c r="C51" s="3">
        <v>11004</v>
      </c>
      <c r="D51" s="15">
        <v>0</v>
      </c>
      <c r="E51" s="15">
        <v>50</v>
      </c>
      <c r="F51" s="15">
        <v>0</v>
      </c>
      <c r="G51" s="15">
        <v>0</v>
      </c>
      <c r="H51" s="15">
        <v>0</v>
      </c>
      <c r="I51" s="15">
        <v>0</v>
      </c>
      <c r="J51" s="15">
        <v>50</v>
      </c>
      <c r="K51" s="15">
        <v>50</v>
      </c>
      <c r="L51" s="15">
        <v>0</v>
      </c>
      <c r="M51" s="15">
        <v>0</v>
      </c>
      <c r="N51" s="15">
        <v>50</v>
      </c>
      <c r="O51" s="15">
        <v>0</v>
      </c>
      <c r="P51" s="15">
        <v>0</v>
      </c>
      <c r="Q51" s="15">
        <v>0</v>
      </c>
      <c r="R51" s="15">
        <v>0</v>
      </c>
      <c r="T51" t="str">
        <f t="shared" si="14"/>
        <v>['question_id' =&gt; 1100, 'option_id' =&gt; 11004, 'genre_id' =&gt; 8010, 'score' =&gt; 0],</v>
      </c>
      <c r="U51" t="str">
        <f t="shared" si="0"/>
        <v>['question_id' =&gt; 1100, 'option_id' =&gt; 11004, 'genre_id' =&gt; 8020, 'score' =&gt; 50],</v>
      </c>
      <c r="V51" t="str">
        <f t="shared" si="1"/>
        <v>['question_id' =&gt; 1100, 'option_id' =&gt; 11004, 'genre_id' =&gt; 8030, 'score' =&gt; 0],</v>
      </c>
      <c r="W51" t="str">
        <f t="shared" si="2"/>
        <v>['question_id' =&gt; 1100, 'option_id' =&gt; 11004, 'genre_id' =&gt; 8040, 'score' =&gt; 0],</v>
      </c>
      <c r="X51" t="str">
        <f t="shared" si="3"/>
        <v>['question_id' =&gt; 1100, 'option_id' =&gt; 11004, 'genre_id' =&gt; 8050, 'score' =&gt; 0],</v>
      </c>
      <c r="Y51" t="str">
        <f t="shared" si="4"/>
        <v>['question_id' =&gt; 1100, 'option_id' =&gt; 11004, 'genre_id' =&gt; 8060, 'score' =&gt; 0],</v>
      </c>
      <c r="Z51" t="str">
        <f t="shared" si="5"/>
        <v>['question_id' =&gt; 1100, 'option_id' =&gt; 11004, 'genre_id' =&gt; 8070, 'score' =&gt; 50],</v>
      </c>
      <c r="AA51" t="str">
        <f t="shared" si="6"/>
        <v>['question_id' =&gt; 1100, 'option_id' =&gt; 11004, 'genre_id' =&gt; 8080, 'score' =&gt; 50],</v>
      </c>
      <c r="AB51" t="str">
        <f t="shared" si="7"/>
        <v>['question_id' =&gt; 1100, 'option_id' =&gt; 11004, 'genre_id' =&gt; 8090, 'score' =&gt; 0],</v>
      </c>
      <c r="AC51" t="str">
        <f t="shared" si="8"/>
        <v>['question_id' =&gt; 1100, 'option_id' =&gt; 11004, 'genre_id' =&gt; 8100, 'score' =&gt; 0],</v>
      </c>
      <c r="AD51" t="str">
        <f t="shared" si="9"/>
        <v>['question_id' =&gt; 1100, 'option_id' =&gt; 11004, 'genre_id' =&gt; 8110, 'score' =&gt; 50],</v>
      </c>
      <c r="AE51" t="str">
        <f t="shared" si="10"/>
        <v>['question_id' =&gt; 1100, 'option_id' =&gt; 11004, 'genre_id' =&gt; 8120, 'score' =&gt; 0],</v>
      </c>
      <c r="AF51" t="str">
        <f t="shared" si="11"/>
        <v>['question_id' =&gt; 1100, 'option_id' =&gt; 11004, 'genre_id' =&gt; 8130, 'score' =&gt; 0],</v>
      </c>
      <c r="AG51" t="str">
        <f t="shared" si="12"/>
        <v>['question_id' =&gt; 1100, 'option_id' =&gt; 11004, 'genre_id' =&gt; 8140, 'score' =&gt; 0],</v>
      </c>
      <c r="AH51" t="str">
        <f t="shared" si="13"/>
        <v>['question_id' =&gt; 1100, 'option_id' =&gt; 11004, 'genre_id' =&gt; 8150, 'score' =&gt; 0],</v>
      </c>
    </row>
    <row r="52" spans="1:34">
      <c r="T52" s="2" t="s">
        <v>82</v>
      </c>
    </row>
    <row r="53" spans="1:34">
      <c r="T53" t="str">
        <f>SUBSTITUTE($T$3,"// docs","// End of docs")</f>
        <v xml:space="preserve">        // End of docs/bike_diagnosis_questionnaire.xlsx code 3230580247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99BF-46EC-4DFA-9181-81A20DC6A7E5}">
  <dimension ref="A1:AF47"/>
  <sheetViews>
    <sheetView topLeftCell="H1" workbookViewId="0">
      <selection activeCell="AE47" sqref="Q1:AE47"/>
    </sheetView>
  </sheetViews>
  <sheetFormatPr defaultRowHeight="13"/>
  <sheetData>
    <row r="1" spans="1:32">
      <c r="A1" s="5">
        <v>5</v>
      </c>
      <c r="B1" s="5">
        <v>0</v>
      </c>
      <c r="C1" s="5">
        <v>0</v>
      </c>
      <c r="D1" s="5">
        <v>0</v>
      </c>
      <c r="E1" s="5">
        <v>0</v>
      </c>
      <c r="F1" s="5">
        <v>0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5</v>
      </c>
      <c r="O1" s="5">
        <v>5</v>
      </c>
      <c r="Q1">
        <f>A1*10</f>
        <v>50</v>
      </c>
      <c r="R1">
        <f t="shared" ref="R1:AF16" si="0">B1*10</f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50</v>
      </c>
      <c r="AE1">
        <f t="shared" si="0"/>
        <v>50</v>
      </c>
      <c r="AF1">
        <f t="shared" si="0"/>
        <v>0</v>
      </c>
    </row>
    <row r="2" spans="1:32">
      <c r="A2" s="5">
        <v>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4</v>
      </c>
      <c r="M2" s="5">
        <v>4</v>
      </c>
      <c r="N2" s="5">
        <v>4</v>
      </c>
      <c r="O2" s="5">
        <v>4</v>
      </c>
      <c r="Q2">
        <f t="shared" ref="Q2:Q47" si="1">A2*10</f>
        <v>40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40</v>
      </c>
      <c r="AC2">
        <f t="shared" si="0"/>
        <v>40</v>
      </c>
      <c r="AD2">
        <f t="shared" si="0"/>
        <v>40</v>
      </c>
      <c r="AE2">
        <f t="shared" si="0"/>
        <v>40</v>
      </c>
      <c r="AF2">
        <f t="shared" si="0"/>
        <v>0</v>
      </c>
    </row>
    <row r="3" spans="1:32">
      <c r="A3" s="5">
        <v>0</v>
      </c>
      <c r="B3" s="5">
        <v>4</v>
      </c>
      <c r="C3" s="5">
        <v>0</v>
      </c>
      <c r="D3" s="5">
        <v>0</v>
      </c>
      <c r="E3" s="5">
        <v>0</v>
      </c>
      <c r="F3" s="5">
        <v>4</v>
      </c>
      <c r="G3" s="5">
        <v>4</v>
      </c>
      <c r="H3" s="5">
        <v>4</v>
      </c>
      <c r="I3" s="5">
        <v>0</v>
      </c>
      <c r="J3" s="5">
        <v>0</v>
      </c>
      <c r="K3" s="5">
        <v>4</v>
      </c>
      <c r="L3" s="5">
        <v>0</v>
      </c>
      <c r="M3" s="5">
        <v>0</v>
      </c>
      <c r="N3" s="5">
        <v>0</v>
      </c>
      <c r="O3" s="5">
        <v>0</v>
      </c>
      <c r="Q3">
        <f t="shared" si="1"/>
        <v>0</v>
      </c>
      <c r="R3">
        <f t="shared" si="0"/>
        <v>40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40</v>
      </c>
      <c r="W3">
        <f t="shared" si="0"/>
        <v>40</v>
      </c>
      <c r="X3">
        <f t="shared" si="0"/>
        <v>40</v>
      </c>
      <c r="Y3">
        <f t="shared" si="0"/>
        <v>0</v>
      </c>
      <c r="Z3">
        <f t="shared" si="0"/>
        <v>0</v>
      </c>
      <c r="AA3">
        <f t="shared" si="0"/>
        <v>40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</row>
    <row r="4" spans="1:32">
      <c r="A4" s="5">
        <v>0</v>
      </c>
      <c r="B4" s="5">
        <v>4</v>
      </c>
      <c r="C4" s="5">
        <v>0</v>
      </c>
      <c r="D4" s="5">
        <v>0</v>
      </c>
      <c r="E4" s="5">
        <v>0</v>
      </c>
      <c r="F4" s="5">
        <v>4</v>
      </c>
      <c r="G4" s="5">
        <v>4</v>
      </c>
      <c r="H4" s="5">
        <v>4</v>
      </c>
      <c r="I4" s="5">
        <v>0</v>
      </c>
      <c r="J4" s="5">
        <v>0</v>
      </c>
      <c r="K4" s="5">
        <v>4</v>
      </c>
      <c r="L4" s="5">
        <v>0</v>
      </c>
      <c r="M4" s="5">
        <v>0</v>
      </c>
      <c r="N4" s="5">
        <v>0</v>
      </c>
      <c r="O4" s="5">
        <v>0</v>
      </c>
      <c r="Q4">
        <f t="shared" si="1"/>
        <v>0</v>
      </c>
      <c r="R4">
        <f t="shared" si="0"/>
        <v>40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40</v>
      </c>
      <c r="W4">
        <f t="shared" si="0"/>
        <v>40</v>
      </c>
      <c r="X4">
        <f t="shared" si="0"/>
        <v>40</v>
      </c>
      <c r="Y4">
        <f t="shared" si="0"/>
        <v>0</v>
      </c>
      <c r="Z4">
        <f t="shared" si="0"/>
        <v>0</v>
      </c>
      <c r="AA4">
        <f t="shared" si="0"/>
        <v>40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</row>
    <row r="5" spans="1:32">
      <c r="A5" s="5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5</v>
      </c>
      <c r="O5" s="5">
        <v>5</v>
      </c>
      <c r="Q5">
        <f t="shared" si="1"/>
        <v>50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50</v>
      </c>
      <c r="AE5">
        <f t="shared" si="0"/>
        <v>50</v>
      </c>
      <c r="AF5">
        <f t="shared" si="0"/>
        <v>0</v>
      </c>
    </row>
    <row r="6" spans="1:32">
      <c r="A6" s="5">
        <v>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Q6">
        <f t="shared" si="1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</row>
    <row r="7" spans="1:32">
      <c r="A7" s="5">
        <v>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4</v>
      </c>
      <c r="H7" s="5">
        <v>4</v>
      </c>
      <c r="I7" s="5">
        <v>0</v>
      </c>
      <c r="J7" s="5">
        <v>0</v>
      </c>
      <c r="K7" s="5">
        <v>4</v>
      </c>
      <c r="L7" s="5">
        <v>0</v>
      </c>
      <c r="M7" s="5">
        <v>0</v>
      </c>
      <c r="N7" s="5">
        <v>0</v>
      </c>
      <c r="O7" s="5">
        <v>0</v>
      </c>
      <c r="Q7">
        <f t="shared" si="1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40</v>
      </c>
      <c r="X7">
        <f t="shared" si="0"/>
        <v>40</v>
      </c>
      <c r="Y7">
        <f t="shared" si="0"/>
        <v>0</v>
      </c>
      <c r="Z7">
        <f t="shared" si="0"/>
        <v>0</v>
      </c>
      <c r="AA7">
        <f t="shared" si="0"/>
        <v>40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</row>
    <row r="8" spans="1:32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4</v>
      </c>
      <c r="H8" s="5">
        <v>4</v>
      </c>
      <c r="I8" s="5">
        <v>0</v>
      </c>
      <c r="J8" s="5">
        <v>0</v>
      </c>
      <c r="K8" s="5">
        <v>4</v>
      </c>
      <c r="L8" s="5">
        <v>0</v>
      </c>
      <c r="M8" s="5">
        <v>0</v>
      </c>
      <c r="N8" s="5">
        <v>0</v>
      </c>
      <c r="O8" s="5">
        <v>0</v>
      </c>
      <c r="Q8">
        <f t="shared" si="1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40</v>
      </c>
      <c r="X8">
        <f t="shared" si="0"/>
        <v>40</v>
      </c>
      <c r="Y8">
        <f t="shared" si="0"/>
        <v>0</v>
      </c>
      <c r="Z8">
        <f t="shared" si="0"/>
        <v>0</v>
      </c>
      <c r="AA8">
        <f t="shared" si="0"/>
        <v>40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</row>
    <row r="9" spans="1:32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Q9">
        <f t="shared" si="1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</row>
    <row r="10" spans="1:32">
      <c r="A10" s="5">
        <v>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Q10">
        <f t="shared" si="1"/>
        <v>30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30</v>
      </c>
      <c r="AC10">
        <f t="shared" si="0"/>
        <v>30</v>
      </c>
      <c r="AD10">
        <f t="shared" si="0"/>
        <v>0</v>
      </c>
      <c r="AE10">
        <f t="shared" si="0"/>
        <v>0</v>
      </c>
      <c r="AF10">
        <f t="shared" si="0"/>
        <v>0</v>
      </c>
    </row>
    <row r="11" spans="1:32">
      <c r="A11" s="5">
        <v>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5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5</v>
      </c>
      <c r="O11" s="5">
        <v>5</v>
      </c>
      <c r="Q11">
        <f t="shared" si="1"/>
        <v>50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50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50</v>
      </c>
      <c r="AE11">
        <f t="shared" si="0"/>
        <v>50</v>
      </c>
      <c r="AF11">
        <f t="shared" si="0"/>
        <v>0</v>
      </c>
    </row>
    <row r="12" spans="1:32">
      <c r="A12" s="5">
        <v>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5</v>
      </c>
      <c r="O12" s="5">
        <v>5</v>
      </c>
      <c r="Q12">
        <f t="shared" si="1"/>
        <v>50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50</v>
      </c>
      <c r="AE12">
        <f t="shared" si="0"/>
        <v>50</v>
      </c>
      <c r="AF12">
        <f t="shared" si="0"/>
        <v>0</v>
      </c>
    </row>
    <row r="13" spans="1:32">
      <c r="A13" s="5">
        <v>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5</v>
      </c>
      <c r="O13" s="5">
        <v>5</v>
      </c>
      <c r="Q13">
        <f t="shared" si="1"/>
        <v>50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0"/>
        <v>50</v>
      </c>
      <c r="AE13">
        <f t="shared" si="0"/>
        <v>50</v>
      </c>
      <c r="AF13">
        <f t="shared" si="0"/>
        <v>0</v>
      </c>
    </row>
    <row r="14" spans="1:32">
      <c r="A14" s="5">
        <v>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5</v>
      </c>
      <c r="O14" s="5">
        <v>5</v>
      </c>
      <c r="Q14">
        <f t="shared" si="1"/>
        <v>50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50</v>
      </c>
      <c r="AE14">
        <f t="shared" si="0"/>
        <v>50</v>
      </c>
      <c r="AF14">
        <f t="shared" si="0"/>
        <v>0</v>
      </c>
    </row>
    <row r="15" spans="1:32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Q15">
        <f t="shared" si="1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</row>
    <row r="16" spans="1:32">
      <c r="A16" s="5">
        <v>0</v>
      </c>
      <c r="B16" s="5">
        <v>4</v>
      </c>
      <c r="C16" s="5">
        <v>4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4</v>
      </c>
      <c r="L16" s="5">
        <v>0</v>
      </c>
      <c r="M16" s="5">
        <v>0</v>
      </c>
      <c r="N16" s="5">
        <v>0</v>
      </c>
      <c r="O16" s="5">
        <v>0</v>
      </c>
      <c r="Q16">
        <f t="shared" si="1"/>
        <v>0</v>
      </c>
      <c r="R16">
        <f t="shared" si="0"/>
        <v>40</v>
      </c>
      <c r="S16">
        <f t="shared" si="0"/>
        <v>40</v>
      </c>
      <c r="T16">
        <f t="shared" si="0"/>
        <v>40</v>
      </c>
      <c r="U16">
        <f t="shared" si="0"/>
        <v>0</v>
      </c>
      <c r="V16">
        <f t="shared" si="0"/>
        <v>40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40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</row>
    <row r="17" spans="1:32">
      <c r="A17" s="5">
        <v>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5</v>
      </c>
      <c r="O17" s="5">
        <v>5</v>
      </c>
      <c r="Q17">
        <f t="shared" si="1"/>
        <v>50</v>
      </c>
      <c r="R17">
        <f t="shared" ref="R17:R47" si="2">B17*10</f>
        <v>0</v>
      </c>
      <c r="S17">
        <f t="shared" ref="S17:S47" si="3">C17*10</f>
        <v>0</v>
      </c>
      <c r="T17">
        <f t="shared" ref="T17:T47" si="4">D17*10</f>
        <v>0</v>
      </c>
      <c r="U17">
        <f t="shared" ref="U17:U47" si="5">E17*10</f>
        <v>0</v>
      </c>
      <c r="V17">
        <f t="shared" ref="V17:V47" si="6">F17*10</f>
        <v>0</v>
      </c>
      <c r="W17">
        <f t="shared" ref="W17:W47" si="7">G17*10</f>
        <v>0</v>
      </c>
      <c r="X17">
        <f t="shared" ref="X17:X47" si="8">H17*10</f>
        <v>0</v>
      </c>
      <c r="Y17">
        <f t="shared" ref="Y17:Y47" si="9">I17*10</f>
        <v>0</v>
      </c>
      <c r="Z17">
        <f t="shared" ref="Z17:Z47" si="10">J17*10</f>
        <v>0</v>
      </c>
      <c r="AA17">
        <f t="shared" ref="AA17:AA47" si="11">K17*10</f>
        <v>0</v>
      </c>
      <c r="AB17">
        <f t="shared" ref="AB17:AB47" si="12">L17*10</f>
        <v>0</v>
      </c>
      <c r="AC17">
        <f t="shared" ref="AC17:AC47" si="13">M17*10</f>
        <v>0</v>
      </c>
      <c r="AD17">
        <f t="shared" ref="AD17:AD47" si="14">N17*10</f>
        <v>50</v>
      </c>
      <c r="AE17">
        <f t="shared" ref="AE17:AE47" si="15">O17*10</f>
        <v>50</v>
      </c>
      <c r="AF17">
        <f t="shared" ref="AF17:AF47" si="16">P17*10</f>
        <v>0</v>
      </c>
    </row>
    <row r="18" spans="1:32">
      <c r="A18" s="5">
        <v>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4</v>
      </c>
      <c r="J18" s="5">
        <v>4</v>
      </c>
      <c r="K18" s="5">
        <v>0</v>
      </c>
      <c r="L18" s="5">
        <v>4</v>
      </c>
      <c r="M18" s="5">
        <v>4</v>
      </c>
      <c r="N18" s="5">
        <v>0</v>
      </c>
      <c r="O18" s="5">
        <v>0</v>
      </c>
      <c r="Q18">
        <f t="shared" si="1"/>
        <v>40</v>
      </c>
      <c r="R18">
        <f t="shared" si="2"/>
        <v>0</v>
      </c>
      <c r="S18">
        <f t="shared" si="3"/>
        <v>0</v>
      </c>
      <c r="T18">
        <f t="shared" si="4"/>
        <v>0</v>
      </c>
      <c r="U18">
        <f t="shared" si="5"/>
        <v>0</v>
      </c>
      <c r="V18">
        <f t="shared" si="6"/>
        <v>0</v>
      </c>
      <c r="W18">
        <f t="shared" si="7"/>
        <v>0</v>
      </c>
      <c r="X18">
        <f t="shared" si="8"/>
        <v>0</v>
      </c>
      <c r="Y18">
        <f t="shared" si="9"/>
        <v>40</v>
      </c>
      <c r="Z18">
        <f t="shared" si="10"/>
        <v>40</v>
      </c>
      <c r="AA18">
        <f t="shared" si="11"/>
        <v>0</v>
      </c>
      <c r="AB18">
        <f t="shared" si="12"/>
        <v>40</v>
      </c>
      <c r="AC18">
        <f t="shared" si="13"/>
        <v>40</v>
      </c>
      <c r="AD18">
        <f t="shared" si="14"/>
        <v>0</v>
      </c>
      <c r="AE18">
        <f t="shared" si="15"/>
        <v>0</v>
      </c>
      <c r="AF18">
        <f t="shared" si="16"/>
        <v>0</v>
      </c>
    </row>
    <row r="19" spans="1:32">
      <c r="A19" s="5">
        <v>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5</v>
      </c>
      <c r="H19" s="5">
        <v>5</v>
      </c>
      <c r="I19" s="5">
        <v>0</v>
      </c>
      <c r="J19" s="5">
        <v>0</v>
      </c>
      <c r="K19" s="5">
        <v>5</v>
      </c>
      <c r="L19" s="5">
        <v>0</v>
      </c>
      <c r="M19" s="5">
        <v>0</v>
      </c>
      <c r="N19" s="5">
        <v>0</v>
      </c>
      <c r="O19" s="5">
        <v>0</v>
      </c>
      <c r="Q19">
        <f t="shared" si="1"/>
        <v>0</v>
      </c>
      <c r="R19">
        <f t="shared" si="2"/>
        <v>0</v>
      </c>
      <c r="S19">
        <f t="shared" si="3"/>
        <v>0</v>
      </c>
      <c r="T19">
        <f t="shared" si="4"/>
        <v>0</v>
      </c>
      <c r="U19">
        <f t="shared" si="5"/>
        <v>0</v>
      </c>
      <c r="V19">
        <f t="shared" si="6"/>
        <v>0</v>
      </c>
      <c r="W19">
        <f t="shared" si="7"/>
        <v>50</v>
      </c>
      <c r="X19">
        <f t="shared" si="8"/>
        <v>50</v>
      </c>
      <c r="Y19">
        <f t="shared" si="9"/>
        <v>0</v>
      </c>
      <c r="Z19">
        <f t="shared" si="10"/>
        <v>0</v>
      </c>
      <c r="AA19">
        <f t="shared" si="11"/>
        <v>50</v>
      </c>
      <c r="AB19">
        <f t="shared" si="12"/>
        <v>0</v>
      </c>
      <c r="AC19">
        <f t="shared" si="13"/>
        <v>0</v>
      </c>
      <c r="AD19">
        <f t="shared" si="14"/>
        <v>0</v>
      </c>
      <c r="AE19">
        <f t="shared" si="15"/>
        <v>0</v>
      </c>
      <c r="AF19">
        <f t="shared" si="16"/>
        <v>0</v>
      </c>
    </row>
    <row r="20" spans="1:32">
      <c r="A20" s="5">
        <v>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5</v>
      </c>
      <c r="H20" s="5">
        <v>5</v>
      </c>
      <c r="I20" s="5">
        <v>0</v>
      </c>
      <c r="J20" s="5">
        <v>0</v>
      </c>
      <c r="K20" s="5">
        <v>5</v>
      </c>
      <c r="L20" s="5">
        <v>0</v>
      </c>
      <c r="M20" s="5">
        <v>0</v>
      </c>
      <c r="N20" s="5">
        <v>0</v>
      </c>
      <c r="O20" s="5">
        <v>0</v>
      </c>
      <c r="Q20">
        <f t="shared" si="1"/>
        <v>0</v>
      </c>
      <c r="R20">
        <f t="shared" si="2"/>
        <v>0</v>
      </c>
      <c r="S20">
        <f t="shared" si="3"/>
        <v>0</v>
      </c>
      <c r="T20">
        <f t="shared" si="4"/>
        <v>0</v>
      </c>
      <c r="U20">
        <f t="shared" si="5"/>
        <v>0</v>
      </c>
      <c r="V20">
        <f t="shared" si="6"/>
        <v>0</v>
      </c>
      <c r="W20">
        <f t="shared" si="7"/>
        <v>50</v>
      </c>
      <c r="X20">
        <f t="shared" si="8"/>
        <v>50</v>
      </c>
      <c r="Y20">
        <f t="shared" si="9"/>
        <v>0</v>
      </c>
      <c r="Z20">
        <f t="shared" si="10"/>
        <v>0</v>
      </c>
      <c r="AA20">
        <f t="shared" si="11"/>
        <v>50</v>
      </c>
      <c r="AB20">
        <f t="shared" si="12"/>
        <v>0</v>
      </c>
      <c r="AC20">
        <f t="shared" si="13"/>
        <v>0</v>
      </c>
      <c r="AD20">
        <f t="shared" si="14"/>
        <v>0</v>
      </c>
      <c r="AE20">
        <f t="shared" si="15"/>
        <v>0</v>
      </c>
      <c r="AF20">
        <f t="shared" si="16"/>
        <v>0</v>
      </c>
    </row>
    <row r="21" spans="1:32">
      <c r="A21" s="5">
        <v>0</v>
      </c>
      <c r="B21" s="5">
        <v>0</v>
      </c>
      <c r="C21" s="5">
        <v>0</v>
      </c>
      <c r="D21" s="5">
        <v>5</v>
      </c>
      <c r="E21" s="5">
        <v>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5</v>
      </c>
      <c r="L21" s="5">
        <v>0</v>
      </c>
      <c r="M21" s="5">
        <v>0</v>
      </c>
      <c r="N21" s="5">
        <v>0</v>
      </c>
      <c r="O21" s="5">
        <v>0</v>
      </c>
      <c r="Q21">
        <f t="shared" si="1"/>
        <v>0</v>
      </c>
      <c r="R21">
        <f t="shared" si="2"/>
        <v>0</v>
      </c>
      <c r="S21">
        <f t="shared" si="3"/>
        <v>0</v>
      </c>
      <c r="T21">
        <f t="shared" si="4"/>
        <v>50</v>
      </c>
      <c r="U21">
        <f t="shared" si="5"/>
        <v>50</v>
      </c>
      <c r="V21">
        <f t="shared" si="6"/>
        <v>0</v>
      </c>
      <c r="W21">
        <f t="shared" si="7"/>
        <v>0</v>
      </c>
      <c r="X21">
        <f t="shared" si="8"/>
        <v>0</v>
      </c>
      <c r="Y21">
        <f t="shared" si="9"/>
        <v>0</v>
      </c>
      <c r="Z21">
        <f t="shared" si="10"/>
        <v>0</v>
      </c>
      <c r="AA21">
        <f t="shared" si="11"/>
        <v>50</v>
      </c>
      <c r="AB21">
        <f t="shared" si="12"/>
        <v>0</v>
      </c>
      <c r="AC21">
        <f t="shared" si="13"/>
        <v>0</v>
      </c>
      <c r="AD21">
        <f t="shared" si="14"/>
        <v>0</v>
      </c>
      <c r="AE21">
        <f t="shared" si="15"/>
        <v>0</v>
      </c>
      <c r="AF21">
        <f t="shared" si="16"/>
        <v>0</v>
      </c>
    </row>
    <row r="22" spans="1:32">
      <c r="A22" s="5">
        <v>0</v>
      </c>
      <c r="B22" s="5">
        <v>5</v>
      </c>
      <c r="C22" s="5">
        <v>5</v>
      </c>
      <c r="D22" s="5">
        <v>0</v>
      </c>
      <c r="E22" s="5">
        <v>5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Q22">
        <f t="shared" si="1"/>
        <v>0</v>
      </c>
      <c r="R22">
        <f t="shared" si="2"/>
        <v>50</v>
      </c>
      <c r="S22">
        <f t="shared" si="3"/>
        <v>50</v>
      </c>
      <c r="T22">
        <f t="shared" si="4"/>
        <v>0</v>
      </c>
      <c r="U22">
        <f t="shared" si="5"/>
        <v>50</v>
      </c>
      <c r="V22">
        <f t="shared" si="6"/>
        <v>50</v>
      </c>
      <c r="W22">
        <f t="shared" si="7"/>
        <v>0</v>
      </c>
      <c r="X22">
        <f t="shared" si="8"/>
        <v>0</v>
      </c>
      <c r="Y22">
        <f t="shared" si="9"/>
        <v>0</v>
      </c>
      <c r="Z22">
        <f t="shared" si="10"/>
        <v>0</v>
      </c>
      <c r="AA22">
        <f t="shared" si="11"/>
        <v>0</v>
      </c>
      <c r="AB22">
        <f t="shared" si="12"/>
        <v>0</v>
      </c>
      <c r="AC22">
        <f t="shared" si="13"/>
        <v>0</v>
      </c>
      <c r="AD22">
        <f t="shared" si="14"/>
        <v>0</v>
      </c>
      <c r="AE22">
        <f t="shared" si="15"/>
        <v>0</v>
      </c>
      <c r="AF22">
        <f t="shared" si="16"/>
        <v>0</v>
      </c>
    </row>
    <row r="23" spans="1:32">
      <c r="A23" s="5">
        <v>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5</v>
      </c>
      <c r="H23" s="5">
        <v>5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</v>
      </c>
      <c r="O23" s="5">
        <v>0</v>
      </c>
      <c r="Q23">
        <f t="shared" si="1"/>
        <v>0</v>
      </c>
      <c r="R23">
        <f t="shared" si="2"/>
        <v>0</v>
      </c>
      <c r="S23">
        <f t="shared" si="3"/>
        <v>0</v>
      </c>
      <c r="T23">
        <f t="shared" si="4"/>
        <v>0</v>
      </c>
      <c r="U23">
        <f t="shared" si="5"/>
        <v>0</v>
      </c>
      <c r="V23">
        <f t="shared" si="6"/>
        <v>0</v>
      </c>
      <c r="W23">
        <f t="shared" si="7"/>
        <v>50</v>
      </c>
      <c r="X23">
        <f t="shared" si="8"/>
        <v>50</v>
      </c>
      <c r="Y23">
        <f t="shared" si="9"/>
        <v>0</v>
      </c>
      <c r="Z23">
        <f t="shared" si="10"/>
        <v>0</v>
      </c>
      <c r="AA23">
        <f t="shared" si="11"/>
        <v>0</v>
      </c>
      <c r="AB23">
        <f t="shared" si="12"/>
        <v>0</v>
      </c>
      <c r="AC23">
        <f t="shared" si="13"/>
        <v>0</v>
      </c>
      <c r="AD23">
        <f t="shared" si="14"/>
        <v>50</v>
      </c>
      <c r="AE23">
        <f t="shared" si="15"/>
        <v>0</v>
      </c>
      <c r="AF23">
        <f t="shared" si="16"/>
        <v>0</v>
      </c>
    </row>
    <row r="24" spans="1:32">
      <c r="A24" s="5">
        <v>5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5</v>
      </c>
      <c r="O24" s="5">
        <v>5</v>
      </c>
      <c r="Q24">
        <f t="shared" si="1"/>
        <v>50</v>
      </c>
      <c r="R24">
        <f t="shared" si="2"/>
        <v>0</v>
      </c>
      <c r="S24">
        <f t="shared" si="3"/>
        <v>0</v>
      </c>
      <c r="T24">
        <f t="shared" si="4"/>
        <v>0</v>
      </c>
      <c r="U24">
        <f t="shared" si="5"/>
        <v>0</v>
      </c>
      <c r="V24">
        <f t="shared" si="6"/>
        <v>0</v>
      </c>
      <c r="W24">
        <f t="shared" si="7"/>
        <v>0</v>
      </c>
      <c r="X24">
        <f t="shared" si="8"/>
        <v>0</v>
      </c>
      <c r="Y24">
        <f t="shared" si="9"/>
        <v>0</v>
      </c>
      <c r="Z24">
        <f t="shared" si="10"/>
        <v>0</v>
      </c>
      <c r="AA24">
        <f t="shared" si="11"/>
        <v>0</v>
      </c>
      <c r="AB24">
        <f t="shared" si="12"/>
        <v>0</v>
      </c>
      <c r="AC24">
        <f t="shared" si="13"/>
        <v>0</v>
      </c>
      <c r="AD24">
        <f t="shared" si="14"/>
        <v>50</v>
      </c>
      <c r="AE24">
        <f t="shared" si="15"/>
        <v>50</v>
      </c>
      <c r="AF24">
        <f t="shared" si="16"/>
        <v>0</v>
      </c>
    </row>
    <row r="25" spans="1:32">
      <c r="A25" s="5">
        <v>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5</v>
      </c>
      <c r="O25" s="5">
        <v>5</v>
      </c>
      <c r="Q25">
        <f t="shared" si="1"/>
        <v>50</v>
      </c>
      <c r="R25">
        <f t="shared" si="2"/>
        <v>0</v>
      </c>
      <c r="S25">
        <f t="shared" si="3"/>
        <v>0</v>
      </c>
      <c r="T25">
        <f t="shared" si="4"/>
        <v>0</v>
      </c>
      <c r="U25">
        <f t="shared" si="5"/>
        <v>0</v>
      </c>
      <c r="V25">
        <f t="shared" si="6"/>
        <v>0</v>
      </c>
      <c r="W25">
        <f t="shared" si="7"/>
        <v>0</v>
      </c>
      <c r="X25">
        <f t="shared" si="8"/>
        <v>0</v>
      </c>
      <c r="Y25">
        <f t="shared" si="9"/>
        <v>0</v>
      </c>
      <c r="Z25">
        <f t="shared" si="10"/>
        <v>0</v>
      </c>
      <c r="AA25">
        <f t="shared" si="11"/>
        <v>0</v>
      </c>
      <c r="AB25">
        <f t="shared" si="12"/>
        <v>0</v>
      </c>
      <c r="AC25">
        <f t="shared" si="13"/>
        <v>0</v>
      </c>
      <c r="AD25">
        <f t="shared" si="14"/>
        <v>50</v>
      </c>
      <c r="AE25">
        <f t="shared" si="15"/>
        <v>50</v>
      </c>
      <c r="AF25">
        <f t="shared" si="16"/>
        <v>0</v>
      </c>
    </row>
    <row r="26" spans="1:32">
      <c r="A26" s="5">
        <v>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</v>
      </c>
      <c r="J26" s="5">
        <v>4</v>
      </c>
      <c r="K26" s="5">
        <v>4</v>
      </c>
      <c r="L26" s="5">
        <v>0</v>
      </c>
      <c r="M26" s="5">
        <v>0</v>
      </c>
      <c r="N26" s="5">
        <v>0</v>
      </c>
      <c r="O26" s="5">
        <v>0</v>
      </c>
      <c r="Q26">
        <f t="shared" si="1"/>
        <v>40</v>
      </c>
      <c r="R26">
        <f t="shared" si="2"/>
        <v>0</v>
      </c>
      <c r="S26">
        <f t="shared" si="3"/>
        <v>0</v>
      </c>
      <c r="T26">
        <f t="shared" si="4"/>
        <v>0</v>
      </c>
      <c r="U26">
        <f t="shared" si="5"/>
        <v>0</v>
      </c>
      <c r="V26">
        <f t="shared" si="6"/>
        <v>0</v>
      </c>
      <c r="W26">
        <f t="shared" si="7"/>
        <v>0</v>
      </c>
      <c r="X26">
        <f t="shared" si="8"/>
        <v>0</v>
      </c>
      <c r="Y26">
        <f t="shared" si="9"/>
        <v>40</v>
      </c>
      <c r="Z26">
        <f t="shared" si="10"/>
        <v>40</v>
      </c>
      <c r="AA26">
        <f t="shared" si="11"/>
        <v>40</v>
      </c>
      <c r="AB26">
        <f t="shared" si="12"/>
        <v>0</v>
      </c>
      <c r="AC26">
        <f t="shared" si="13"/>
        <v>0</v>
      </c>
      <c r="AD26">
        <f t="shared" si="14"/>
        <v>0</v>
      </c>
      <c r="AE26">
        <f t="shared" si="15"/>
        <v>0</v>
      </c>
      <c r="AF26">
        <f t="shared" si="16"/>
        <v>0</v>
      </c>
    </row>
    <row r="27" spans="1:32">
      <c r="A27" s="5">
        <v>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4</v>
      </c>
      <c r="J27" s="5">
        <v>4</v>
      </c>
      <c r="K27" s="5">
        <v>4</v>
      </c>
      <c r="L27" s="5">
        <v>0</v>
      </c>
      <c r="M27" s="5">
        <v>0</v>
      </c>
      <c r="N27" s="5">
        <v>0</v>
      </c>
      <c r="O27" s="5">
        <v>0</v>
      </c>
      <c r="Q27">
        <f t="shared" si="1"/>
        <v>40</v>
      </c>
      <c r="R27">
        <f t="shared" si="2"/>
        <v>0</v>
      </c>
      <c r="S27">
        <f t="shared" si="3"/>
        <v>0</v>
      </c>
      <c r="T27">
        <f t="shared" si="4"/>
        <v>0</v>
      </c>
      <c r="U27">
        <f t="shared" si="5"/>
        <v>0</v>
      </c>
      <c r="V27">
        <f t="shared" si="6"/>
        <v>0</v>
      </c>
      <c r="W27">
        <f t="shared" si="7"/>
        <v>0</v>
      </c>
      <c r="X27">
        <f t="shared" si="8"/>
        <v>0</v>
      </c>
      <c r="Y27">
        <f t="shared" si="9"/>
        <v>40</v>
      </c>
      <c r="Z27">
        <f t="shared" si="10"/>
        <v>40</v>
      </c>
      <c r="AA27">
        <f t="shared" si="11"/>
        <v>40</v>
      </c>
      <c r="AB27">
        <f t="shared" si="12"/>
        <v>0</v>
      </c>
      <c r="AC27">
        <f t="shared" si="13"/>
        <v>0</v>
      </c>
      <c r="AD27">
        <f t="shared" si="14"/>
        <v>0</v>
      </c>
      <c r="AE27">
        <f t="shared" si="15"/>
        <v>0</v>
      </c>
      <c r="AF27">
        <f t="shared" si="16"/>
        <v>0</v>
      </c>
    </row>
    <row r="28" spans="1:32">
      <c r="A28" s="5">
        <v>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5</v>
      </c>
      <c r="H28" s="5">
        <v>5</v>
      </c>
      <c r="I28" s="5">
        <v>0</v>
      </c>
      <c r="J28" s="5">
        <v>0</v>
      </c>
      <c r="K28" s="5">
        <v>5</v>
      </c>
      <c r="L28" s="5">
        <v>0</v>
      </c>
      <c r="M28" s="5">
        <v>0</v>
      </c>
      <c r="N28" s="5">
        <v>0</v>
      </c>
      <c r="O28" s="5">
        <v>0</v>
      </c>
      <c r="Q28">
        <f t="shared" si="1"/>
        <v>0</v>
      </c>
      <c r="R28">
        <f t="shared" si="2"/>
        <v>0</v>
      </c>
      <c r="S28">
        <f t="shared" si="3"/>
        <v>0</v>
      </c>
      <c r="T28">
        <f t="shared" si="4"/>
        <v>0</v>
      </c>
      <c r="U28">
        <f t="shared" si="5"/>
        <v>0</v>
      </c>
      <c r="V28">
        <f t="shared" si="6"/>
        <v>0</v>
      </c>
      <c r="W28">
        <f t="shared" si="7"/>
        <v>50</v>
      </c>
      <c r="X28">
        <f t="shared" si="8"/>
        <v>50</v>
      </c>
      <c r="Y28">
        <f t="shared" si="9"/>
        <v>0</v>
      </c>
      <c r="Z28">
        <f t="shared" si="10"/>
        <v>0</v>
      </c>
      <c r="AA28">
        <f t="shared" si="11"/>
        <v>50</v>
      </c>
      <c r="AB28">
        <f t="shared" si="12"/>
        <v>0</v>
      </c>
      <c r="AC28">
        <f t="shared" si="13"/>
        <v>0</v>
      </c>
      <c r="AD28">
        <f t="shared" si="14"/>
        <v>0</v>
      </c>
      <c r="AE28">
        <f t="shared" si="15"/>
        <v>0</v>
      </c>
      <c r="AF28">
        <f t="shared" si="16"/>
        <v>0</v>
      </c>
    </row>
    <row r="29" spans="1:32">
      <c r="A29" s="5">
        <v>0</v>
      </c>
      <c r="B29" s="5">
        <v>0</v>
      </c>
      <c r="C29" s="5">
        <v>0</v>
      </c>
      <c r="D29" s="5">
        <v>5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5</v>
      </c>
      <c r="K29" s="5">
        <v>5</v>
      </c>
      <c r="L29" s="5">
        <v>0</v>
      </c>
      <c r="M29" s="5">
        <v>0</v>
      </c>
      <c r="N29" s="5">
        <v>0</v>
      </c>
      <c r="O29" s="5">
        <v>0</v>
      </c>
      <c r="Q29">
        <f t="shared" si="1"/>
        <v>0</v>
      </c>
      <c r="R29">
        <f t="shared" si="2"/>
        <v>0</v>
      </c>
      <c r="S29">
        <f t="shared" si="3"/>
        <v>0</v>
      </c>
      <c r="T29">
        <f t="shared" si="4"/>
        <v>50</v>
      </c>
      <c r="U29">
        <f t="shared" si="5"/>
        <v>50</v>
      </c>
      <c r="V29">
        <f t="shared" si="6"/>
        <v>0</v>
      </c>
      <c r="W29">
        <f t="shared" si="7"/>
        <v>0</v>
      </c>
      <c r="X29">
        <f t="shared" si="8"/>
        <v>0</v>
      </c>
      <c r="Y29">
        <f t="shared" si="9"/>
        <v>0</v>
      </c>
      <c r="Z29">
        <f t="shared" si="10"/>
        <v>50</v>
      </c>
      <c r="AA29">
        <f t="shared" si="11"/>
        <v>50</v>
      </c>
      <c r="AB29">
        <f t="shared" si="12"/>
        <v>0</v>
      </c>
      <c r="AC29">
        <f t="shared" si="13"/>
        <v>0</v>
      </c>
      <c r="AD29">
        <f t="shared" si="14"/>
        <v>0</v>
      </c>
      <c r="AE29">
        <f t="shared" si="15"/>
        <v>0</v>
      </c>
      <c r="AF29">
        <f t="shared" si="16"/>
        <v>0</v>
      </c>
    </row>
    <row r="30" spans="1:32">
      <c r="A30" s="5">
        <v>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Q30">
        <f t="shared" si="1"/>
        <v>0</v>
      </c>
      <c r="R30">
        <f t="shared" si="2"/>
        <v>0</v>
      </c>
      <c r="S30">
        <f t="shared" si="3"/>
        <v>0</v>
      </c>
      <c r="T30">
        <f t="shared" si="4"/>
        <v>0</v>
      </c>
      <c r="U30">
        <f t="shared" si="5"/>
        <v>0</v>
      </c>
      <c r="V30">
        <f t="shared" si="6"/>
        <v>0</v>
      </c>
      <c r="W30">
        <f t="shared" si="7"/>
        <v>0</v>
      </c>
      <c r="X30">
        <f t="shared" si="8"/>
        <v>0</v>
      </c>
      <c r="Y30">
        <f t="shared" si="9"/>
        <v>0</v>
      </c>
      <c r="Z30">
        <f t="shared" si="10"/>
        <v>0</v>
      </c>
      <c r="AA30">
        <f t="shared" si="11"/>
        <v>0</v>
      </c>
      <c r="AB30">
        <f t="shared" si="12"/>
        <v>0</v>
      </c>
      <c r="AC30">
        <f t="shared" si="13"/>
        <v>0</v>
      </c>
      <c r="AD30">
        <f t="shared" si="14"/>
        <v>0</v>
      </c>
      <c r="AE30">
        <f t="shared" si="15"/>
        <v>0</v>
      </c>
      <c r="AF30">
        <f t="shared" si="16"/>
        <v>0</v>
      </c>
    </row>
    <row r="31" spans="1:32">
      <c r="A31" s="5">
        <v>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</v>
      </c>
      <c r="J31" s="5">
        <v>0</v>
      </c>
      <c r="K31" s="5">
        <v>0</v>
      </c>
      <c r="L31" s="5">
        <v>3</v>
      </c>
      <c r="M31" s="5">
        <v>3</v>
      </c>
      <c r="N31" s="5">
        <v>0</v>
      </c>
      <c r="O31" s="5">
        <v>0</v>
      </c>
      <c r="Q31">
        <f t="shared" si="1"/>
        <v>0</v>
      </c>
      <c r="R31">
        <f t="shared" si="2"/>
        <v>0</v>
      </c>
      <c r="S31">
        <f t="shared" si="3"/>
        <v>0</v>
      </c>
      <c r="T31">
        <f t="shared" si="4"/>
        <v>0</v>
      </c>
      <c r="U31">
        <f t="shared" si="5"/>
        <v>0</v>
      </c>
      <c r="V31">
        <f t="shared" si="6"/>
        <v>0</v>
      </c>
      <c r="W31">
        <f t="shared" si="7"/>
        <v>0</v>
      </c>
      <c r="X31">
        <f t="shared" si="8"/>
        <v>0</v>
      </c>
      <c r="Y31">
        <f t="shared" si="9"/>
        <v>30</v>
      </c>
      <c r="Z31">
        <f t="shared" si="10"/>
        <v>0</v>
      </c>
      <c r="AA31">
        <f t="shared" si="11"/>
        <v>0</v>
      </c>
      <c r="AB31">
        <f t="shared" si="12"/>
        <v>30</v>
      </c>
      <c r="AC31">
        <f t="shared" si="13"/>
        <v>30</v>
      </c>
      <c r="AD31">
        <f t="shared" si="14"/>
        <v>0</v>
      </c>
      <c r="AE31">
        <f t="shared" si="15"/>
        <v>0</v>
      </c>
      <c r="AF31">
        <f t="shared" si="16"/>
        <v>0</v>
      </c>
    </row>
    <row r="32" spans="1:32">
      <c r="A32" s="5">
        <v>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5</v>
      </c>
      <c r="O32" s="5">
        <v>5</v>
      </c>
      <c r="Q32">
        <f t="shared" si="1"/>
        <v>50</v>
      </c>
      <c r="R32">
        <f t="shared" si="2"/>
        <v>0</v>
      </c>
      <c r="S32">
        <f t="shared" si="3"/>
        <v>0</v>
      </c>
      <c r="T32">
        <f t="shared" si="4"/>
        <v>0</v>
      </c>
      <c r="U32">
        <f t="shared" si="5"/>
        <v>0</v>
      </c>
      <c r="V32">
        <f t="shared" si="6"/>
        <v>0</v>
      </c>
      <c r="W32">
        <f t="shared" si="7"/>
        <v>0</v>
      </c>
      <c r="X32">
        <f t="shared" si="8"/>
        <v>0</v>
      </c>
      <c r="Y32">
        <f t="shared" si="9"/>
        <v>0</v>
      </c>
      <c r="Z32">
        <f t="shared" si="10"/>
        <v>0</v>
      </c>
      <c r="AA32">
        <f t="shared" si="11"/>
        <v>0</v>
      </c>
      <c r="AB32">
        <f t="shared" si="12"/>
        <v>0</v>
      </c>
      <c r="AC32">
        <f t="shared" si="13"/>
        <v>0</v>
      </c>
      <c r="AD32">
        <f t="shared" si="14"/>
        <v>50</v>
      </c>
      <c r="AE32">
        <f t="shared" si="15"/>
        <v>50</v>
      </c>
      <c r="AF32">
        <f t="shared" si="16"/>
        <v>0</v>
      </c>
    </row>
    <row r="33" spans="1:32">
      <c r="A33" s="21">
        <v>0</v>
      </c>
      <c r="B33" s="21">
        <v>3</v>
      </c>
      <c r="C33" s="21">
        <v>0</v>
      </c>
      <c r="D33" s="21">
        <v>0</v>
      </c>
      <c r="E33" s="21">
        <v>0</v>
      </c>
      <c r="F33" s="21">
        <v>0</v>
      </c>
      <c r="G33" s="21">
        <v>3</v>
      </c>
      <c r="H33" s="21">
        <v>3</v>
      </c>
      <c r="I33" s="21">
        <v>0</v>
      </c>
      <c r="J33" s="21">
        <v>0</v>
      </c>
      <c r="K33" s="21">
        <v>3</v>
      </c>
      <c r="L33" s="21">
        <v>0</v>
      </c>
      <c r="M33" s="21">
        <v>0</v>
      </c>
      <c r="N33" s="21">
        <v>0</v>
      </c>
      <c r="O33" s="21">
        <v>0</v>
      </c>
      <c r="Q33">
        <f t="shared" si="1"/>
        <v>0</v>
      </c>
      <c r="R33">
        <f t="shared" si="2"/>
        <v>30</v>
      </c>
      <c r="S33">
        <f t="shared" si="3"/>
        <v>0</v>
      </c>
      <c r="T33">
        <f t="shared" si="4"/>
        <v>0</v>
      </c>
      <c r="U33">
        <f t="shared" si="5"/>
        <v>0</v>
      </c>
      <c r="V33">
        <f t="shared" si="6"/>
        <v>0</v>
      </c>
      <c r="W33">
        <f t="shared" si="7"/>
        <v>30</v>
      </c>
      <c r="X33">
        <f t="shared" si="8"/>
        <v>30</v>
      </c>
      <c r="Y33">
        <f t="shared" si="9"/>
        <v>0</v>
      </c>
      <c r="Z33">
        <f t="shared" si="10"/>
        <v>0</v>
      </c>
      <c r="AA33">
        <f t="shared" si="11"/>
        <v>30</v>
      </c>
      <c r="AB33">
        <f t="shared" si="12"/>
        <v>0</v>
      </c>
      <c r="AC33">
        <f t="shared" si="13"/>
        <v>0</v>
      </c>
      <c r="AD33">
        <f t="shared" si="14"/>
        <v>0</v>
      </c>
      <c r="AE33">
        <f t="shared" si="15"/>
        <v>0</v>
      </c>
      <c r="AF33">
        <f t="shared" si="16"/>
        <v>0</v>
      </c>
    </row>
    <row r="34" spans="1:32">
      <c r="A34" s="21">
        <v>0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Q34">
        <f t="shared" si="1"/>
        <v>0</v>
      </c>
      <c r="R34">
        <f t="shared" si="2"/>
        <v>0</v>
      </c>
      <c r="S34">
        <f t="shared" si="3"/>
        <v>0</v>
      </c>
      <c r="T34">
        <f t="shared" si="4"/>
        <v>0</v>
      </c>
      <c r="U34">
        <f t="shared" si="5"/>
        <v>0</v>
      </c>
      <c r="V34">
        <f t="shared" si="6"/>
        <v>0</v>
      </c>
      <c r="W34">
        <f t="shared" si="7"/>
        <v>0</v>
      </c>
      <c r="X34">
        <f t="shared" si="8"/>
        <v>0</v>
      </c>
      <c r="Y34">
        <f t="shared" si="9"/>
        <v>0</v>
      </c>
      <c r="Z34">
        <f t="shared" si="10"/>
        <v>0</v>
      </c>
      <c r="AA34">
        <f t="shared" si="11"/>
        <v>0</v>
      </c>
      <c r="AB34">
        <f t="shared" si="12"/>
        <v>0</v>
      </c>
      <c r="AC34">
        <f t="shared" si="13"/>
        <v>0</v>
      </c>
      <c r="AD34">
        <f t="shared" si="14"/>
        <v>0</v>
      </c>
      <c r="AE34">
        <f t="shared" si="15"/>
        <v>0</v>
      </c>
      <c r="AF34">
        <f t="shared" si="16"/>
        <v>0</v>
      </c>
    </row>
    <row r="35" spans="1:32">
      <c r="A35" s="21">
        <v>5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5</v>
      </c>
      <c r="O35" s="21">
        <v>5</v>
      </c>
      <c r="Q35">
        <f t="shared" si="1"/>
        <v>50</v>
      </c>
      <c r="R35">
        <f t="shared" si="2"/>
        <v>0</v>
      </c>
      <c r="S35">
        <f t="shared" si="3"/>
        <v>0</v>
      </c>
      <c r="T35">
        <f t="shared" si="4"/>
        <v>0</v>
      </c>
      <c r="U35">
        <f t="shared" si="5"/>
        <v>0</v>
      </c>
      <c r="V35">
        <f t="shared" si="6"/>
        <v>0</v>
      </c>
      <c r="W35">
        <f t="shared" si="7"/>
        <v>0</v>
      </c>
      <c r="X35">
        <f t="shared" si="8"/>
        <v>0</v>
      </c>
      <c r="Y35">
        <f t="shared" si="9"/>
        <v>0</v>
      </c>
      <c r="Z35">
        <f t="shared" si="10"/>
        <v>0</v>
      </c>
      <c r="AA35">
        <f t="shared" si="11"/>
        <v>0</v>
      </c>
      <c r="AB35">
        <f t="shared" si="12"/>
        <v>0</v>
      </c>
      <c r="AC35">
        <f t="shared" si="13"/>
        <v>0</v>
      </c>
      <c r="AD35">
        <f t="shared" si="14"/>
        <v>50</v>
      </c>
      <c r="AE35">
        <f t="shared" si="15"/>
        <v>50</v>
      </c>
      <c r="AF35">
        <f t="shared" si="16"/>
        <v>0</v>
      </c>
    </row>
    <row r="36" spans="1:32">
      <c r="A36" s="19">
        <v>0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Q36">
        <f t="shared" si="1"/>
        <v>0</v>
      </c>
      <c r="R36">
        <f t="shared" si="2"/>
        <v>0</v>
      </c>
      <c r="S36">
        <f t="shared" si="3"/>
        <v>0</v>
      </c>
      <c r="T36">
        <f t="shared" si="4"/>
        <v>0</v>
      </c>
      <c r="U36">
        <f t="shared" si="5"/>
        <v>0</v>
      </c>
      <c r="V36">
        <f t="shared" si="6"/>
        <v>0</v>
      </c>
      <c r="W36">
        <f t="shared" si="7"/>
        <v>0</v>
      </c>
      <c r="X36">
        <f t="shared" si="8"/>
        <v>0</v>
      </c>
      <c r="Y36">
        <f t="shared" si="9"/>
        <v>0</v>
      </c>
      <c r="Z36">
        <f t="shared" si="10"/>
        <v>0</v>
      </c>
      <c r="AA36">
        <f t="shared" si="11"/>
        <v>0</v>
      </c>
      <c r="AB36">
        <f t="shared" si="12"/>
        <v>0</v>
      </c>
      <c r="AC36">
        <f t="shared" si="13"/>
        <v>0</v>
      </c>
      <c r="AD36">
        <f t="shared" si="14"/>
        <v>0</v>
      </c>
      <c r="AE36">
        <f t="shared" si="15"/>
        <v>0</v>
      </c>
      <c r="AF36">
        <f t="shared" si="16"/>
        <v>0</v>
      </c>
    </row>
    <row r="37" spans="1:32">
      <c r="A37" s="19">
        <v>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3</v>
      </c>
      <c r="N37" s="19">
        <v>0</v>
      </c>
      <c r="O37" s="19">
        <v>0</v>
      </c>
      <c r="Q37">
        <f t="shared" si="1"/>
        <v>30</v>
      </c>
      <c r="R37">
        <f t="shared" si="2"/>
        <v>0</v>
      </c>
      <c r="S37">
        <f t="shared" si="3"/>
        <v>0</v>
      </c>
      <c r="T37">
        <f t="shared" si="4"/>
        <v>0</v>
      </c>
      <c r="U37">
        <f t="shared" si="5"/>
        <v>0</v>
      </c>
      <c r="V37">
        <f t="shared" si="6"/>
        <v>0</v>
      </c>
      <c r="W37">
        <f t="shared" si="7"/>
        <v>0</v>
      </c>
      <c r="X37">
        <f t="shared" si="8"/>
        <v>0</v>
      </c>
      <c r="Y37">
        <f t="shared" si="9"/>
        <v>0</v>
      </c>
      <c r="Z37">
        <f t="shared" si="10"/>
        <v>0</v>
      </c>
      <c r="AA37">
        <f t="shared" si="11"/>
        <v>0</v>
      </c>
      <c r="AB37">
        <f t="shared" si="12"/>
        <v>0</v>
      </c>
      <c r="AC37">
        <f t="shared" si="13"/>
        <v>30</v>
      </c>
      <c r="AD37">
        <f t="shared" si="14"/>
        <v>0</v>
      </c>
      <c r="AE37">
        <f t="shared" si="15"/>
        <v>0</v>
      </c>
      <c r="AF37">
        <f t="shared" si="16"/>
        <v>0</v>
      </c>
    </row>
    <row r="38" spans="1:32">
      <c r="A38" s="19">
        <v>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5</v>
      </c>
      <c r="H38" s="19">
        <v>5</v>
      </c>
      <c r="I38" s="19">
        <v>0</v>
      </c>
      <c r="J38" s="19">
        <v>0</v>
      </c>
      <c r="K38" s="19">
        <v>5</v>
      </c>
      <c r="L38" s="19">
        <v>0</v>
      </c>
      <c r="M38" s="19">
        <v>0</v>
      </c>
      <c r="N38" s="19">
        <v>5</v>
      </c>
      <c r="O38" s="19">
        <v>0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0</v>
      </c>
      <c r="U38">
        <f t="shared" si="5"/>
        <v>0</v>
      </c>
      <c r="V38">
        <f t="shared" si="6"/>
        <v>0</v>
      </c>
      <c r="W38">
        <f t="shared" si="7"/>
        <v>50</v>
      </c>
      <c r="X38">
        <f t="shared" si="8"/>
        <v>50</v>
      </c>
      <c r="Y38">
        <f t="shared" si="9"/>
        <v>0</v>
      </c>
      <c r="Z38">
        <f t="shared" si="10"/>
        <v>0</v>
      </c>
      <c r="AA38">
        <f t="shared" si="11"/>
        <v>50</v>
      </c>
      <c r="AB38">
        <f t="shared" si="12"/>
        <v>0</v>
      </c>
      <c r="AC38">
        <f t="shared" si="13"/>
        <v>0</v>
      </c>
      <c r="AD38">
        <f t="shared" si="14"/>
        <v>50</v>
      </c>
      <c r="AE38">
        <f t="shared" si="15"/>
        <v>0</v>
      </c>
      <c r="AF38">
        <f t="shared" si="16"/>
        <v>0</v>
      </c>
    </row>
    <row r="39" spans="1:32">
      <c r="A39" s="17">
        <v>5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5</v>
      </c>
      <c r="O39" s="17">
        <v>5</v>
      </c>
      <c r="Q39">
        <f t="shared" si="1"/>
        <v>50</v>
      </c>
      <c r="R39">
        <f t="shared" si="2"/>
        <v>0</v>
      </c>
      <c r="S39">
        <f t="shared" si="3"/>
        <v>0</v>
      </c>
      <c r="T39">
        <f t="shared" si="4"/>
        <v>0</v>
      </c>
      <c r="U39">
        <f t="shared" si="5"/>
        <v>0</v>
      </c>
      <c r="V39">
        <f t="shared" si="6"/>
        <v>0</v>
      </c>
      <c r="W39">
        <f t="shared" si="7"/>
        <v>0</v>
      </c>
      <c r="X39">
        <f t="shared" si="8"/>
        <v>0</v>
      </c>
      <c r="Y39">
        <f t="shared" si="9"/>
        <v>0</v>
      </c>
      <c r="Z39">
        <f t="shared" si="10"/>
        <v>0</v>
      </c>
      <c r="AA39">
        <f t="shared" si="11"/>
        <v>0</v>
      </c>
      <c r="AB39">
        <f t="shared" si="12"/>
        <v>0</v>
      </c>
      <c r="AC39">
        <f t="shared" si="13"/>
        <v>0</v>
      </c>
      <c r="AD39">
        <f t="shared" si="14"/>
        <v>50</v>
      </c>
      <c r="AE39">
        <f t="shared" si="15"/>
        <v>50</v>
      </c>
      <c r="AF39">
        <f t="shared" si="16"/>
        <v>0</v>
      </c>
    </row>
    <row r="40" spans="1:32">
      <c r="A40" s="17">
        <v>5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5</v>
      </c>
      <c r="O40" s="17">
        <v>5</v>
      </c>
      <c r="Q40">
        <f t="shared" si="1"/>
        <v>50</v>
      </c>
      <c r="R40">
        <f t="shared" si="2"/>
        <v>0</v>
      </c>
      <c r="S40">
        <f t="shared" si="3"/>
        <v>0</v>
      </c>
      <c r="T40">
        <f t="shared" si="4"/>
        <v>0</v>
      </c>
      <c r="U40">
        <f t="shared" si="5"/>
        <v>0</v>
      </c>
      <c r="V40">
        <f t="shared" si="6"/>
        <v>0</v>
      </c>
      <c r="W40">
        <f t="shared" si="7"/>
        <v>0</v>
      </c>
      <c r="X40">
        <f t="shared" si="8"/>
        <v>0</v>
      </c>
      <c r="Y40">
        <f t="shared" si="9"/>
        <v>0</v>
      </c>
      <c r="Z40">
        <f t="shared" si="10"/>
        <v>0</v>
      </c>
      <c r="AA40">
        <f t="shared" si="11"/>
        <v>0</v>
      </c>
      <c r="AB40">
        <f t="shared" si="12"/>
        <v>0</v>
      </c>
      <c r="AC40">
        <f t="shared" si="13"/>
        <v>0</v>
      </c>
      <c r="AD40">
        <f t="shared" si="14"/>
        <v>50</v>
      </c>
      <c r="AE40">
        <f t="shared" si="15"/>
        <v>50</v>
      </c>
      <c r="AF40">
        <f t="shared" si="16"/>
        <v>0</v>
      </c>
    </row>
    <row r="41" spans="1:32">
      <c r="A41" s="17">
        <v>3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3</v>
      </c>
      <c r="L41" s="17">
        <v>3</v>
      </c>
      <c r="M41" s="17">
        <v>3</v>
      </c>
      <c r="N41" s="17">
        <v>0</v>
      </c>
      <c r="O41" s="17">
        <v>0</v>
      </c>
      <c r="Q41">
        <f t="shared" si="1"/>
        <v>30</v>
      </c>
      <c r="R41">
        <f t="shared" si="2"/>
        <v>0</v>
      </c>
      <c r="S41">
        <f t="shared" si="3"/>
        <v>0</v>
      </c>
      <c r="T41">
        <f t="shared" si="4"/>
        <v>0</v>
      </c>
      <c r="U41">
        <f t="shared" si="5"/>
        <v>0</v>
      </c>
      <c r="V41">
        <f t="shared" si="6"/>
        <v>0</v>
      </c>
      <c r="W41">
        <f t="shared" si="7"/>
        <v>0</v>
      </c>
      <c r="X41">
        <f t="shared" si="8"/>
        <v>0</v>
      </c>
      <c r="Y41">
        <f t="shared" si="9"/>
        <v>0</v>
      </c>
      <c r="Z41">
        <f t="shared" si="10"/>
        <v>0</v>
      </c>
      <c r="AA41">
        <f t="shared" si="11"/>
        <v>30</v>
      </c>
      <c r="AB41">
        <f t="shared" si="12"/>
        <v>30</v>
      </c>
      <c r="AC41">
        <f t="shared" si="13"/>
        <v>30</v>
      </c>
      <c r="AD41">
        <f t="shared" si="14"/>
        <v>0</v>
      </c>
      <c r="AE41">
        <f t="shared" si="15"/>
        <v>0</v>
      </c>
      <c r="AF41">
        <f t="shared" si="16"/>
        <v>0</v>
      </c>
    </row>
    <row r="42" spans="1:32">
      <c r="A42" s="17">
        <v>3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3</v>
      </c>
      <c r="L42" s="17">
        <v>3</v>
      </c>
      <c r="M42" s="17">
        <v>3</v>
      </c>
      <c r="N42" s="17">
        <v>0</v>
      </c>
      <c r="O42" s="17">
        <v>0</v>
      </c>
      <c r="Q42">
        <f t="shared" si="1"/>
        <v>30</v>
      </c>
      <c r="R42">
        <f t="shared" si="2"/>
        <v>0</v>
      </c>
      <c r="S42">
        <f t="shared" si="3"/>
        <v>0</v>
      </c>
      <c r="T42">
        <f t="shared" si="4"/>
        <v>0</v>
      </c>
      <c r="U42">
        <f t="shared" si="5"/>
        <v>0</v>
      </c>
      <c r="V42">
        <f t="shared" si="6"/>
        <v>0</v>
      </c>
      <c r="W42">
        <f t="shared" si="7"/>
        <v>0</v>
      </c>
      <c r="X42">
        <f t="shared" si="8"/>
        <v>0</v>
      </c>
      <c r="Y42">
        <f t="shared" si="9"/>
        <v>0</v>
      </c>
      <c r="Z42">
        <f t="shared" si="10"/>
        <v>0</v>
      </c>
      <c r="AA42">
        <f t="shared" si="11"/>
        <v>30</v>
      </c>
      <c r="AB42">
        <f t="shared" si="12"/>
        <v>30</v>
      </c>
      <c r="AC42">
        <f t="shared" si="13"/>
        <v>30</v>
      </c>
      <c r="AD42">
        <f t="shared" si="14"/>
        <v>0</v>
      </c>
      <c r="AE42">
        <f t="shared" si="15"/>
        <v>0</v>
      </c>
      <c r="AF42">
        <f t="shared" si="16"/>
        <v>0</v>
      </c>
    </row>
    <row r="43" spans="1:32">
      <c r="A43" s="17">
        <v>0</v>
      </c>
      <c r="B43" s="17">
        <v>4</v>
      </c>
      <c r="C43" s="17">
        <v>0</v>
      </c>
      <c r="D43" s="17">
        <v>0</v>
      </c>
      <c r="E43" s="17">
        <v>0</v>
      </c>
      <c r="F43" s="17">
        <v>0</v>
      </c>
      <c r="G43" s="17">
        <v>4</v>
      </c>
      <c r="H43" s="17">
        <v>4</v>
      </c>
      <c r="I43" s="17">
        <v>0</v>
      </c>
      <c r="J43" s="17">
        <v>0</v>
      </c>
      <c r="K43" s="17">
        <v>4</v>
      </c>
      <c r="L43" s="17">
        <v>0</v>
      </c>
      <c r="M43" s="17">
        <v>0</v>
      </c>
      <c r="N43" s="17">
        <v>0</v>
      </c>
      <c r="O43" s="17">
        <v>0</v>
      </c>
      <c r="Q43">
        <f t="shared" si="1"/>
        <v>0</v>
      </c>
      <c r="R43">
        <f t="shared" si="2"/>
        <v>40</v>
      </c>
      <c r="S43">
        <f t="shared" si="3"/>
        <v>0</v>
      </c>
      <c r="T43">
        <f t="shared" si="4"/>
        <v>0</v>
      </c>
      <c r="U43">
        <f t="shared" si="5"/>
        <v>0</v>
      </c>
      <c r="V43">
        <f t="shared" si="6"/>
        <v>0</v>
      </c>
      <c r="W43">
        <f t="shared" si="7"/>
        <v>40</v>
      </c>
      <c r="X43">
        <f t="shared" si="8"/>
        <v>40</v>
      </c>
      <c r="Y43">
        <f t="shared" si="9"/>
        <v>0</v>
      </c>
      <c r="Z43">
        <f t="shared" si="10"/>
        <v>0</v>
      </c>
      <c r="AA43">
        <f t="shared" si="11"/>
        <v>40</v>
      </c>
      <c r="AB43">
        <f t="shared" si="12"/>
        <v>0</v>
      </c>
      <c r="AC43">
        <f t="shared" si="13"/>
        <v>0</v>
      </c>
      <c r="AD43">
        <f t="shared" si="14"/>
        <v>0</v>
      </c>
      <c r="AE43">
        <f t="shared" si="15"/>
        <v>0</v>
      </c>
      <c r="AF43">
        <f t="shared" si="16"/>
        <v>0</v>
      </c>
    </row>
    <row r="44" spans="1:32">
      <c r="A44" s="15">
        <v>0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5</v>
      </c>
      <c r="O44" s="15">
        <v>5</v>
      </c>
      <c r="Q44">
        <f t="shared" si="1"/>
        <v>0</v>
      </c>
      <c r="R44">
        <f t="shared" si="2"/>
        <v>0</v>
      </c>
      <c r="S44">
        <f t="shared" si="3"/>
        <v>0</v>
      </c>
      <c r="T44">
        <f t="shared" si="4"/>
        <v>0</v>
      </c>
      <c r="U44">
        <f t="shared" si="5"/>
        <v>0</v>
      </c>
      <c r="V44">
        <f t="shared" si="6"/>
        <v>0</v>
      </c>
      <c r="W44">
        <f t="shared" si="7"/>
        <v>0</v>
      </c>
      <c r="X44">
        <f t="shared" si="8"/>
        <v>0</v>
      </c>
      <c r="Y44">
        <f t="shared" si="9"/>
        <v>0</v>
      </c>
      <c r="Z44">
        <f t="shared" si="10"/>
        <v>0</v>
      </c>
      <c r="AA44">
        <f t="shared" si="11"/>
        <v>0</v>
      </c>
      <c r="AB44">
        <f t="shared" si="12"/>
        <v>0</v>
      </c>
      <c r="AC44">
        <f t="shared" si="13"/>
        <v>0</v>
      </c>
      <c r="AD44">
        <f t="shared" si="14"/>
        <v>50</v>
      </c>
      <c r="AE44">
        <f t="shared" si="15"/>
        <v>50</v>
      </c>
      <c r="AF44">
        <f t="shared" si="16"/>
        <v>0</v>
      </c>
    </row>
    <row r="45" spans="1:32">
      <c r="A45" s="15">
        <v>5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5</v>
      </c>
      <c r="O45" s="15">
        <v>5</v>
      </c>
      <c r="Q45">
        <f t="shared" si="1"/>
        <v>50</v>
      </c>
      <c r="R45">
        <f t="shared" si="2"/>
        <v>0</v>
      </c>
      <c r="S45">
        <f t="shared" si="3"/>
        <v>0</v>
      </c>
      <c r="T45">
        <f t="shared" si="4"/>
        <v>0</v>
      </c>
      <c r="U45">
        <f t="shared" si="5"/>
        <v>0</v>
      </c>
      <c r="V45">
        <f t="shared" si="6"/>
        <v>0</v>
      </c>
      <c r="W45">
        <f t="shared" si="7"/>
        <v>0</v>
      </c>
      <c r="X45">
        <f t="shared" si="8"/>
        <v>0</v>
      </c>
      <c r="Y45">
        <f t="shared" si="9"/>
        <v>0</v>
      </c>
      <c r="Z45">
        <f t="shared" si="10"/>
        <v>0</v>
      </c>
      <c r="AA45">
        <f t="shared" si="11"/>
        <v>0</v>
      </c>
      <c r="AB45">
        <f t="shared" si="12"/>
        <v>0</v>
      </c>
      <c r="AC45">
        <f t="shared" si="13"/>
        <v>0</v>
      </c>
      <c r="AD45">
        <f t="shared" si="14"/>
        <v>50</v>
      </c>
      <c r="AE45">
        <f t="shared" si="15"/>
        <v>50</v>
      </c>
      <c r="AF45">
        <f t="shared" si="16"/>
        <v>0</v>
      </c>
    </row>
    <row r="46" spans="1:32">
      <c r="A46" s="15">
        <v>4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4</v>
      </c>
      <c r="L46" s="15">
        <v>4</v>
      </c>
      <c r="M46" s="15">
        <v>4</v>
      </c>
      <c r="N46" s="15">
        <v>0</v>
      </c>
      <c r="O46" s="15">
        <v>0</v>
      </c>
      <c r="Q46">
        <f t="shared" si="1"/>
        <v>40</v>
      </c>
      <c r="R46">
        <f t="shared" si="2"/>
        <v>0</v>
      </c>
      <c r="S46">
        <f t="shared" si="3"/>
        <v>0</v>
      </c>
      <c r="T46">
        <f t="shared" si="4"/>
        <v>0</v>
      </c>
      <c r="U46">
        <f t="shared" si="5"/>
        <v>0</v>
      </c>
      <c r="V46">
        <f t="shared" si="6"/>
        <v>0</v>
      </c>
      <c r="W46">
        <f t="shared" si="7"/>
        <v>0</v>
      </c>
      <c r="X46">
        <f t="shared" si="8"/>
        <v>0</v>
      </c>
      <c r="Y46">
        <f t="shared" si="9"/>
        <v>0</v>
      </c>
      <c r="Z46">
        <f t="shared" si="10"/>
        <v>0</v>
      </c>
      <c r="AA46">
        <f t="shared" si="11"/>
        <v>40</v>
      </c>
      <c r="AB46">
        <f t="shared" si="12"/>
        <v>40</v>
      </c>
      <c r="AC46">
        <f t="shared" si="13"/>
        <v>40</v>
      </c>
      <c r="AD46">
        <f t="shared" si="14"/>
        <v>0</v>
      </c>
      <c r="AE46">
        <f t="shared" si="15"/>
        <v>0</v>
      </c>
      <c r="AF46">
        <f t="shared" si="16"/>
        <v>0</v>
      </c>
    </row>
    <row r="47" spans="1:32">
      <c r="A47" s="15">
        <v>0</v>
      </c>
      <c r="B47" s="15">
        <v>5</v>
      </c>
      <c r="C47" s="15">
        <v>0</v>
      </c>
      <c r="D47" s="15">
        <v>0</v>
      </c>
      <c r="E47" s="15">
        <v>0</v>
      </c>
      <c r="F47" s="15">
        <v>0</v>
      </c>
      <c r="G47" s="15">
        <v>5</v>
      </c>
      <c r="H47" s="15">
        <v>5</v>
      </c>
      <c r="I47" s="15">
        <v>0</v>
      </c>
      <c r="J47" s="15">
        <v>0</v>
      </c>
      <c r="K47" s="15">
        <v>5</v>
      </c>
      <c r="L47" s="15">
        <v>0</v>
      </c>
      <c r="M47" s="15">
        <v>0</v>
      </c>
      <c r="N47" s="15">
        <v>0</v>
      </c>
      <c r="O47" s="15">
        <v>0</v>
      </c>
      <c r="Q47">
        <f t="shared" si="1"/>
        <v>0</v>
      </c>
      <c r="R47">
        <f t="shared" si="2"/>
        <v>50</v>
      </c>
      <c r="S47">
        <f t="shared" si="3"/>
        <v>0</v>
      </c>
      <c r="T47">
        <f t="shared" si="4"/>
        <v>0</v>
      </c>
      <c r="U47">
        <f t="shared" si="5"/>
        <v>0</v>
      </c>
      <c r="V47">
        <f t="shared" si="6"/>
        <v>0</v>
      </c>
      <c r="W47">
        <f t="shared" si="7"/>
        <v>50</v>
      </c>
      <c r="X47">
        <f t="shared" si="8"/>
        <v>50</v>
      </c>
      <c r="Y47">
        <f t="shared" si="9"/>
        <v>0</v>
      </c>
      <c r="Z47">
        <f t="shared" si="10"/>
        <v>0</v>
      </c>
      <c r="AA47">
        <f t="shared" si="11"/>
        <v>50</v>
      </c>
      <c r="AB47">
        <f t="shared" si="12"/>
        <v>0</v>
      </c>
      <c r="AC47">
        <f t="shared" si="13"/>
        <v>0</v>
      </c>
      <c r="AD47">
        <f t="shared" si="14"/>
        <v>0</v>
      </c>
      <c r="AE47">
        <f t="shared" si="15"/>
        <v>0</v>
      </c>
      <c r="AF47">
        <f t="shared" si="16"/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Questions</vt:lpstr>
      <vt:lpstr>Options</vt:lpstr>
      <vt:lpstr>Genres</vt:lpstr>
      <vt:lpstr>WeightsMatrix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正 杉江</cp:lastModifiedBy>
  <dcterms:created xsi:type="dcterms:W3CDTF">2025-10-26T08:50:45Z</dcterms:created>
  <dcterms:modified xsi:type="dcterms:W3CDTF">2025-11-06T07:34:46Z</dcterms:modified>
</cp:coreProperties>
</file>